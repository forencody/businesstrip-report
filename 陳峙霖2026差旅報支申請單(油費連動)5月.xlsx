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40" yWindow="600" windowWidth="25600" windowHeight="20740" tabRatio="600" firstSheet="0" activeTab="2" autoFilterDateGrouping="1"/>
  </bookViews>
  <sheets>
    <sheet xmlns:r="http://schemas.openxmlformats.org/officeDocument/2006/relationships" name="差旅申請單 (範本)" sheetId="1" state="visible" r:id="rId1"/>
    <sheet xmlns:r="http://schemas.openxmlformats.org/officeDocument/2006/relationships" name="差旅申請單5月" sheetId="2" state="visible" r:id="rId2"/>
    <sheet xmlns:r="http://schemas.openxmlformats.org/officeDocument/2006/relationships" name="油費報告書5月" sheetId="3" state="visible" r:id="rId3"/>
  </sheets>
  <definedNames>
    <definedName name="_xlnm.Print_Area" localSheetId="0">'差旅申請單 (範本)'!$A$1:$Q$43</definedName>
    <definedName name="_xlnm.Print_Area" localSheetId="1">'差旅申請單5月'!$A$1:$S$39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30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2"/>
    </font>
    <font>
      <name val="微軟正黑體"/>
      <charset val="136"/>
      <family val="2"/>
      <color theme="1"/>
      <sz val="11"/>
    </font>
    <font>
      <name val="微軟正黑體"/>
      <charset val="136"/>
      <family val="2"/>
      <color rgb="FFFF0000"/>
      <sz val="9"/>
    </font>
    <font>
      <name val="新細明體"/>
      <charset val="136"/>
      <family val="2"/>
      <b val="1"/>
      <color theme="0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微軟正黑體"/>
      <charset val="136"/>
      <family val="2"/>
      <b val="1"/>
      <color theme="0"/>
      <sz val="14"/>
    </font>
    <font>
      <name val="微軟正黑體"/>
      <charset val="136"/>
      <family val="2"/>
      <color theme="1"/>
      <sz val="9"/>
    </font>
    <font>
      <name val="細明體"/>
      <charset val="136"/>
      <family val="3"/>
      <b val="1"/>
      <color indexed="81"/>
      <sz val="12"/>
    </font>
    <font>
      <name val="微軟正黑體"/>
      <charset val="136"/>
      <family val="2"/>
      <color indexed="8"/>
      <sz val="14"/>
    </font>
    <font>
      <name val="新細明體"/>
      <charset val="136"/>
      <family val="1"/>
      <sz val="9"/>
    </font>
    <font>
      <name val="微軟正黑體"/>
      <charset val="136"/>
      <family val="2"/>
      <color indexed="8"/>
      <sz val="12"/>
    </font>
    <font>
      <name val="微軟正黑體"/>
      <charset val="136"/>
      <family val="2"/>
      <color indexed="8"/>
      <sz val="16"/>
    </font>
    <font>
      <name val="微軟正黑體"/>
      <charset val="136"/>
      <family val="2"/>
      <color indexed="8"/>
      <sz val="12"/>
      <u val="single"/>
    </font>
    <font>
      <name val="Wingdings"/>
      <charset val="2"/>
      <sz val="12"/>
    </font>
    <font>
      <name val="微軟正黑體"/>
      <charset val="136"/>
      <family val="2"/>
      <sz val="12"/>
    </font>
    <font>
      <name val="微軟正黑體"/>
      <charset val="136"/>
      <family val="2"/>
      <b val="1"/>
      <color indexed="8"/>
      <sz val="12"/>
    </font>
    <font>
      <name val="微软雅黑"/>
      <charset val="134"/>
      <family val="2"/>
      <color theme="1"/>
      <sz val="12"/>
    </font>
    <font>
      <name val="細明體"/>
      <charset val="136"/>
      <family val="1"/>
      <b val="1"/>
      <color rgb="FF000000"/>
      <sz val="12"/>
    </font>
  </fonts>
  <fills count="10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4" fillId="0" borderId="0" applyAlignment="1">
      <alignment vertical="center"/>
    </xf>
    <xf numFmtId="165" fontId="4" fillId="0" borderId="0" applyAlignment="1">
      <alignment vertical="center"/>
    </xf>
    <xf numFmtId="0" fontId="5" fillId="0" borderId="0" applyAlignment="1">
      <alignment vertical="center"/>
    </xf>
  </cellStyleXfs>
  <cellXfs count="2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7" fillId="2" borderId="13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164" fontId="2" fillId="0" borderId="28" applyAlignment="1" pivotButton="0" quotePrefix="0" xfId="1">
      <alignment horizontal="center" vertical="center"/>
    </xf>
    <xf numFmtId="0" fontId="9" fillId="4" borderId="15" applyAlignment="1" pivotButton="0" quotePrefix="0" xfId="0">
      <alignment vertical="center"/>
    </xf>
    <xf numFmtId="0" fontId="9" fillId="4" borderId="33" applyAlignment="1" pivotButton="0" quotePrefix="0" xfId="0">
      <alignment horizontal="left" vertical="center"/>
    </xf>
    <xf numFmtId="0" fontId="9" fillId="4" borderId="31" applyAlignment="1" pivotButton="0" quotePrefix="0" xfId="0">
      <alignment horizontal="left" vertical="center"/>
    </xf>
    <xf numFmtId="0" fontId="9" fillId="4" borderId="31" applyAlignment="1" pivotButton="0" quotePrefix="0" xfId="0">
      <alignment vertical="center"/>
    </xf>
    <xf numFmtId="164" fontId="1" fillId="0" borderId="2" applyAlignment="1" pivotButton="0" quotePrefix="0" xfId="1">
      <alignment horizontal="center" vertical="center" wrapText="1"/>
    </xf>
    <xf numFmtId="164" fontId="2" fillId="5" borderId="38" applyAlignment="1" pivotButton="0" quotePrefix="0" xfId="1">
      <alignment horizontal="center" vertical="center"/>
    </xf>
    <xf numFmtId="164" fontId="2" fillId="5" borderId="22" applyAlignment="1" pivotButton="0" quotePrefix="0" xfId="1">
      <alignment horizontal="center" vertical="center"/>
    </xf>
    <xf numFmtId="164" fontId="2" fillId="6" borderId="10" applyAlignment="1" pivotButton="0" quotePrefix="0" xfId="1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24" applyAlignment="1" pivotButton="0" quotePrefix="0" xfId="1">
      <alignment horizontal="center" vertical="center" wrapText="1"/>
    </xf>
    <xf numFmtId="164" fontId="1" fillId="5" borderId="22" applyAlignment="1" pivotButton="0" quotePrefix="0" xfId="1">
      <alignment horizontal="center" vertical="center"/>
    </xf>
    <xf numFmtId="164" fontId="1" fillId="0" borderId="28" applyAlignment="1" pivotButton="0" quotePrefix="0" xfId="1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20" fillId="0" borderId="0" applyAlignment="1" pivotButton="0" quotePrefix="0" xfId="2">
      <alignment vertical="center"/>
    </xf>
    <xf numFmtId="0" fontId="20" fillId="7" borderId="0" applyAlignment="1" pivotButton="0" quotePrefix="0" xfId="2">
      <alignment horizontal="center" vertical="center"/>
    </xf>
    <xf numFmtId="0" fontId="22" fillId="0" borderId="0" applyAlignment="1" pivotButton="0" quotePrefix="0" xfId="2">
      <alignment vertical="center"/>
    </xf>
    <xf numFmtId="0" fontId="23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0" fontId="22" fillId="8" borderId="2" applyAlignment="1" pivotButton="0" quotePrefix="0" xfId="2">
      <alignment horizontal="center" vertical="center"/>
    </xf>
    <xf numFmtId="0" fontId="6" fillId="0" borderId="2" applyAlignment="1" pivotButton="0" quotePrefix="0" xfId="2">
      <alignment horizontal="center" vertical="center"/>
    </xf>
    <xf numFmtId="0" fontId="6" fillId="0" borderId="2" applyAlignment="1" pivotButton="0" quotePrefix="0" xfId="2">
      <alignment vertical="center"/>
    </xf>
    <xf numFmtId="0" fontId="25" fillId="0" borderId="46" applyAlignment="1" pivotButton="0" quotePrefix="0" xfId="0">
      <alignment horizontal="center" vertical="center" shrinkToFit="1"/>
    </xf>
    <xf numFmtId="164" fontId="26" fillId="2" borderId="2" applyAlignment="1" pivotButton="0" quotePrefix="0" xfId="1">
      <alignment horizontal="center" vertical="center"/>
    </xf>
    <xf numFmtId="0" fontId="6" fillId="0" borderId="2" applyAlignment="1" pivotButton="0" quotePrefix="0" xfId="2">
      <alignment horizontal="center" vertical="center" wrapText="1"/>
    </xf>
    <xf numFmtId="0" fontId="22" fillId="0" borderId="2" applyAlignment="1" pivotButton="0" quotePrefix="0" xfId="2">
      <alignment horizontal="center" vertical="center"/>
    </xf>
    <xf numFmtId="0" fontId="22" fillId="0" borderId="2" applyAlignment="1" pivotButton="0" quotePrefix="0" xfId="2">
      <alignment vertical="center"/>
    </xf>
    <xf numFmtId="0" fontId="22" fillId="0" borderId="2" applyAlignment="1" pivotButton="0" quotePrefix="0" xfId="2">
      <alignment horizontal="center" vertical="center" wrapText="1"/>
    </xf>
    <xf numFmtId="0" fontId="22" fillId="0" borderId="2" applyAlignment="1" pivotButton="0" quotePrefix="0" xfId="2">
      <alignment horizontal="right" vertical="center"/>
    </xf>
    <xf numFmtId="0" fontId="22" fillId="0" borderId="45" applyAlignment="1" pivotButton="0" quotePrefix="0" xfId="2">
      <alignment vertical="center"/>
    </xf>
    <xf numFmtId="0" fontId="22" fillId="7" borderId="46" applyAlignment="1" pivotButton="0" quotePrefix="0" xfId="2">
      <alignment horizontal="center" vertical="center"/>
    </xf>
    <xf numFmtId="164" fontId="22" fillId="9" borderId="46" applyAlignment="1" pivotButton="0" quotePrefix="0" xfId="1">
      <alignment vertical="center"/>
    </xf>
    <xf numFmtId="0" fontId="26" fillId="0" borderId="0" applyAlignment="1" pivotButton="0" quotePrefix="0" xfId="2">
      <alignment vertical="center"/>
    </xf>
    <xf numFmtId="0" fontId="27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8" fillId="0" borderId="5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28" fillId="0" borderId="4" applyAlignment="1" pivotButton="0" quotePrefix="0" xfId="0">
      <alignment horizontal="center" vertical="center"/>
    </xf>
    <xf numFmtId="0" fontId="28" fillId="0" borderId="32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1" fillId="5" borderId="14" applyAlignment="1" pivotButton="0" quotePrefix="0" xfId="1">
      <alignment horizontal="center" vertical="center"/>
    </xf>
    <xf numFmtId="164" fontId="1" fillId="0" borderId="37" applyAlignment="1" pivotButton="0" quotePrefix="0" xfId="1">
      <alignment horizontal="center" vertical="center"/>
    </xf>
    <xf numFmtId="164" fontId="1" fillId="5" borderId="10" applyAlignment="1" pivotButton="0" quotePrefix="0" xfId="1">
      <alignment horizontal="center" vertical="center"/>
    </xf>
    <xf numFmtId="0" fontId="6" fillId="0" borderId="3" applyAlignment="1" pivotButton="0" quotePrefix="0" xfId="2">
      <alignment horizontal="center" vertical="center"/>
    </xf>
    <xf numFmtId="0" fontId="6" fillId="0" borderId="46" applyAlignment="1" pivotButton="0" quotePrefix="0" xfId="2">
      <alignment horizontal="center" vertical="center"/>
    </xf>
    <xf numFmtId="0" fontId="24" fillId="0" borderId="0" applyAlignment="1" pivotButton="0" quotePrefix="0" xfId="2">
      <alignment horizontal="left" vertical="center"/>
    </xf>
    <xf numFmtId="0" fontId="24" fillId="0" borderId="1" applyAlignment="1" pivotButton="0" quotePrefix="0" xfId="2">
      <alignment horizontal="left" vertical="center" shrinkToFit="1"/>
    </xf>
    <xf numFmtId="0" fontId="22" fillId="0" borderId="1" applyAlignment="1" pivotButton="0" quotePrefix="0" xfId="2">
      <alignment vertical="center" shrinkToFit="1"/>
    </xf>
    <xf numFmtId="0" fontId="22" fillId="0" borderId="1" applyAlignment="1" pivotButton="0" quotePrefix="0" xfId="2">
      <alignment vertical="center"/>
    </xf>
    <xf numFmtId="0" fontId="24" fillId="0" borderId="1" applyAlignment="1" pivotButton="0" quotePrefix="0" xfId="2">
      <alignment horizontal="left" vertical="center"/>
    </xf>
    <xf numFmtId="0" fontId="22" fillId="0" borderId="1" applyAlignment="1" pivotButton="0" quotePrefix="0" xfId="2">
      <alignment horizontal="left" vertical="center"/>
    </xf>
    <xf numFmtId="0" fontId="22" fillId="8" borderId="2" applyAlignment="1" pivotButton="0" quotePrefix="0" xfId="2">
      <alignment horizontal="center" vertical="center"/>
    </xf>
    <xf numFmtId="0" fontId="22" fillId="8" borderId="3" applyAlignment="1" pivotButton="0" quotePrefix="0" xfId="2">
      <alignment horizontal="center" vertical="center"/>
    </xf>
    <xf numFmtId="0" fontId="22" fillId="8" borderId="45" applyAlignment="1" pivotButton="0" quotePrefix="0" xfId="2">
      <alignment horizontal="center" vertical="center"/>
    </xf>
    <xf numFmtId="0" fontId="22" fillId="8" borderId="3" applyAlignment="1" pivotButton="0" quotePrefix="0" xfId="2">
      <alignment horizontal="center" vertical="center" wrapText="1"/>
    </xf>
    <xf numFmtId="0" fontId="22" fillId="8" borderId="45" applyAlignment="1" pivotButton="0" quotePrefix="0" xfId="2">
      <alignment horizontal="center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22" fillId="0" borderId="2" applyAlignment="1" pivotButton="0" quotePrefix="0" xfId="2">
      <alignment horizontal="center" vertical="center" shrinkToFit="1"/>
    </xf>
    <xf numFmtId="0" fontId="6" fillId="0" borderId="45" applyAlignment="1" pivotButton="0" quotePrefix="0" xfId="2">
      <alignment horizontal="center" vertical="center"/>
    </xf>
    <xf numFmtId="0" fontId="22" fillId="0" borderId="3" applyAlignment="1" pivotButton="0" quotePrefix="0" xfId="2">
      <alignment horizontal="center" vertical="center" shrinkToFit="1"/>
    </xf>
    <xf numFmtId="0" fontId="22" fillId="0" borderId="45" applyAlignment="1" pivotButton="0" quotePrefix="0" xfId="2">
      <alignment horizontal="center" vertical="center" shrinkToFit="1"/>
    </xf>
    <xf numFmtId="0" fontId="22" fillId="0" borderId="2" applyAlignment="1" pivotButton="0" quotePrefix="0" xfId="2">
      <alignment horizontal="center" vertical="center" wrapText="1" shrinkToFit="1"/>
    </xf>
    <xf numFmtId="0" fontId="22" fillId="0" borderId="2" applyAlignment="1" pivotButton="0" quotePrefix="0" xfId="2">
      <alignment horizontal="center" vertical="center" wrapText="1"/>
    </xf>
    <xf numFmtId="0" fontId="22" fillId="0" borderId="3" applyAlignment="1" pivotButton="0" quotePrefix="0" xfId="2">
      <alignment horizontal="center" vertical="center"/>
    </xf>
    <xf numFmtId="0" fontId="22" fillId="0" borderId="46" applyAlignment="1" pivotButton="0" quotePrefix="0" xfId="2">
      <alignment horizontal="center" vertical="center"/>
    </xf>
    <xf numFmtId="0" fontId="22" fillId="0" borderId="45" applyAlignment="1" pivotButton="0" quotePrefix="0" xfId="2">
      <alignment horizontal="center" vertical="center"/>
    </xf>
    <xf numFmtId="0" fontId="22" fillId="0" borderId="3" applyAlignment="1" pivotButton="0" quotePrefix="0" xfId="2">
      <alignment horizontal="distributed" vertical="center"/>
    </xf>
    <xf numFmtId="0" fontId="22" fillId="0" borderId="46" applyAlignment="1" pivotButton="0" quotePrefix="0" xfId="2">
      <alignment horizontal="distributed" vertical="center"/>
    </xf>
    <xf numFmtId="0" fontId="22" fillId="0" borderId="46" applyAlignment="1" pivotButton="0" quotePrefix="0" xfId="2">
      <alignment horizontal="left" vertical="center"/>
    </xf>
    <xf numFmtId="0" fontId="22" fillId="0" borderId="45" applyAlignment="1" pivotButton="0" quotePrefix="0" xfId="2">
      <alignment horizontal="left" vertical="center"/>
    </xf>
    <xf numFmtId="164" fontId="22" fillId="0" borderId="3" applyAlignment="1" pivotButton="0" quotePrefix="0" xfId="1">
      <alignment horizontal="center" vertical="center"/>
    </xf>
    <xf numFmtId="164" fontId="22" fillId="0" borderId="46" applyAlignment="1" pivotButton="0" quotePrefix="0" xfId="1">
      <alignment horizontal="center" vertical="center"/>
    </xf>
    <xf numFmtId="0" fontId="22" fillId="0" borderId="3" applyAlignment="1" pivotButton="0" quotePrefix="0" xfId="2">
      <alignment horizontal="distributed" vertical="distributed"/>
    </xf>
    <xf numFmtId="0" fontId="22" fillId="0" borderId="46" applyAlignment="1" pivotButton="0" quotePrefix="0" xfId="2">
      <alignment horizontal="distributed" vertical="distributed"/>
    </xf>
    <xf numFmtId="0" fontId="22" fillId="0" borderId="45" applyAlignment="1" pivotButton="0" quotePrefix="0" xfId="2">
      <alignment horizontal="distributed" vertical="distributed"/>
    </xf>
    <xf numFmtId="164" fontId="22" fillId="2" borderId="3" applyAlignment="1" pivotButton="0" quotePrefix="0" xfId="1">
      <alignment horizontal="center" vertical="center"/>
    </xf>
    <xf numFmtId="164" fontId="22" fillId="2" borderId="46" applyAlignment="1" pivotButton="0" quotePrefix="0" xfId="1">
      <alignment horizontal="center" vertical="center"/>
    </xf>
    <xf numFmtId="0" fontId="22" fillId="0" borderId="46" applyAlignment="1" pivotButton="0" quotePrefix="0" xfId="2">
      <alignment vertical="center"/>
    </xf>
    <xf numFmtId="0" fontId="22" fillId="0" borderId="45" applyAlignment="1" pivotButton="0" quotePrefix="0" xfId="2">
      <alignment vertical="center"/>
    </xf>
    <xf numFmtId="0" fontId="2" fillId="0" borderId="2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164" fontId="2" fillId="0" borderId="24" applyAlignment="1" pivotButton="0" quotePrefix="0" xfId="1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64" fontId="2" fillId="0" borderId="2" applyAlignment="1" pivotButton="0" quotePrefix="0" xfId="1">
      <alignment horizontal="center" vertical="center"/>
    </xf>
    <xf numFmtId="164" fontId="1" fillId="0" borderId="22" applyAlignment="1" pivotButton="0" quotePrefix="0" xfId="1">
      <alignment horizontal="center" vertical="center"/>
    </xf>
    <xf numFmtId="164" fontId="1" fillId="0" borderId="26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164" fontId="2" fillId="0" borderId="42" applyAlignment="1" pivotButton="0" quotePrefix="0" xfId="1">
      <alignment horizontal="center" vertical="center"/>
    </xf>
    <xf numFmtId="164" fontId="2" fillId="0" borderId="40" applyAlignment="1" pivotButton="0" quotePrefix="0" xfId="1">
      <alignment horizontal="center" vertical="center"/>
    </xf>
    <xf numFmtId="164" fontId="12" fillId="0" borderId="22" applyAlignment="1" pivotButton="0" quotePrefix="0" xfId="1">
      <alignment horizontal="center" vertical="center" wrapText="1"/>
    </xf>
    <xf numFmtId="164" fontId="12" fillId="0" borderId="30" applyAlignment="1" pivotButton="0" quotePrefix="0" xfId="1">
      <alignment horizontal="center" vertical="center" wrapText="1"/>
    </xf>
    <xf numFmtId="164" fontId="12" fillId="0" borderId="2" applyAlignment="1" pivotButton="0" quotePrefix="0" xfId="1">
      <alignment horizontal="center" vertical="center" wrapText="1"/>
    </xf>
    <xf numFmtId="0" fontId="7" fillId="2" borderId="11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 wrapText="1"/>
    </xf>
    <xf numFmtId="164" fontId="2" fillId="0" borderId="41" applyAlignment="1" pivotButton="0" quotePrefix="0" xfId="1">
      <alignment horizontal="center" vertical="center"/>
    </xf>
    <xf numFmtId="164" fontId="6" fillId="0" borderId="24" applyAlignment="1" pivotButton="0" quotePrefix="0" xfId="1">
      <alignment horizontal="center" vertical="center" wrapText="1"/>
    </xf>
    <xf numFmtId="0" fontId="0" fillId="5" borderId="24" applyAlignment="1" pivotButton="0" quotePrefix="0" xfId="0">
      <alignment horizontal="center" vertical="center" wrapText="1"/>
    </xf>
    <xf numFmtId="164" fontId="2" fillId="0" borderId="27" applyAlignment="1" pivotButton="0" quotePrefix="0" xfId="1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9" fillId="4" borderId="5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9" fillId="4" borderId="34" applyAlignment="1" pivotButton="0" quotePrefix="0" xfId="0">
      <alignment horizontal="left" vertical="center"/>
    </xf>
    <xf numFmtId="0" fontId="9" fillId="4" borderId="15" applyAlignment="1" pivotButton="0" quotePrefix="0" xfId="0">
      <alignment horizontal="left" vertical="center"/>
    </xf>
    <xf numFmtId="0" fontId="7" fillId="2" borderId="18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17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7" fillId="5" borderId="3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4" applyAlignment="1" pivotButton="0" quotePrefix="0" xfId="0">
      <alignment horizontal="center" vertical="center" wrapText="1"/>
    </xf>
    <xf numFmtId="0" fontId="0" fillId="5" borderId="26" applyAlignment="1" pivotButton="0" quotePrefix="0" xfId="0">
      <alignment horizontal="center" vertical="center" wrapText="1"/>
    </xf>
    <xf numFmtId="164" fontId="1" fillId="0" borderId="40" applyAlignment="1" pivotButton="0" quotePrefix="0" xfId="1">
      <alignment horizontal="center" vertical="center" shrinkToFit="1"/>
    </xf>
    <xf numFmtId="0" fontId="7" fillId="2" borderId="35" applyAlignment="1" pivotButton="0" quotePrefix="0" xfId="0">
      <alignment horizontal="center" vertical="center"/>
    </xf>
    <xf numFmtId="164" fontId="1" fillId="0" borderId="40" applyAlignment="1" pivotButton="0" quotePrefix="0" xfId="1">
      <alignment horizontal="center" vertical="center"/>
    </xf>
    <xf numFmtId="164" fontId="1" fillId="0" borderId="42" applyAlignment="1" pivotButton="0" quotePrefix="0" xfId="1">
      <alignment horizontal="center" vertical="center"/>
    </xf>
    <xf numFmtId="164" fontId="18" fillId="0" borderId="2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0" fontId="7" fillId="2" borderId="4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shrinkToFit="1"/>
    </xf>
    <xf numFmtId="164" fontId="1" fillId="0" borderId="24" applyAlignment="1" pivotButton="0" quotePrefix="0" xfId="1">
      <alignment horizontal="center" vertical="center"/>
    </xf>
    <xf numFmtId="164" fontId="1" fillId="0" borderId="41" applyAlignment="1" pivotButton="0" quotePrefix="0" xfId="1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164" fontId="1" fillId="0" borderId="24" applyAlignment="1" pivotButton="0" quotePrefix="0" xfId="1">
      <alignment horizontal="center" vertical="center" wrapText="1"/>
    </xf>
    <xf numFmtId="0" fontId="0" fillId="0" borderId="0" pivotButton="0" quotePrefix="0" xfId="0"/>
    <xf numFmtId="0" fontId="8" fillId="0" borderId="2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2" pivotButton="0" quotePrefix="0" xfId="0"/>
    <xf numFmtId="0" fontId="0" fillId="0" borderId="15" pivotButton="0" quotePrefix="0" xfId="0"/>
    <xf numFmtId="0" fontId="9" fillId="4" borderId="24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7" fillId="2" borderId="50" applyAlignment="1" pivotButton="0" quotePrefix="0" xfId="0">
      <alignment horizontal="center" vertical="center" wrapText="1"/>
    </xf>
    <xf numFmtId="0" fontId="7" fillId="2" borderId="5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9" pivotButton="0" quotePrefix="0" xfId="0"/>
    <xf numFmtId="164" fontId="2" fillId="0" borderId="2" applyAlignment="1" pivotButton="0" quotePrefix="0" xfId="1">
      <alignment horizontal="center" vertical="center"/>
    </xf>
    <xf numFmtId="164" fontId="1" fillId="0" borderId="2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 wrapText="1"/>
    </xf>
    <xf numFmtId="164" fontId="12" fillId="0" borderId="10" applyAlignment="1" pivotButton="0" quotePrefix="0" xfId="1">
      <alignment horizontal="center" vertical="center" wrapText="1"/>
    </xf>
    <xf numFmtId="164" fontId="2" fillId="0" borderId="42" applyAlignment="1" pivotButton="0" quotePrefix="0" xfId="1">
      <alignment horizontal="center" vertical="center"/>
    </xf>
    <xf numFmtId="0" fontId="0" fillId="0" borderId="43" pivotButton="0" quotePrefix="0" xfId="0"/>
    <xf numFmtId="0" fontId="0" fillId="0" borderId="26" pivotButton="0" quotePrefix="0" xfId="0"/>
    <xf numFmtId="0" fontId="0" fillId="0" borderId="42" pivotButton="0" quotePrefix="0" xfId="0"/>
    <xf numFmtId="164" fontId="12" fillId="0" borderId="2" applyAlignment="1" pivotButton="0" quotePrefix="0" xfId="1">
      <alignment horizontal="center" vertical="center" wrapText="1"/>
    </xf>
    <xf numFmtId="164" fontId="2" fillId="0" borderId="40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164" fontId="2" fillId="0" borderId="52" applyAlignment="1" pivotButton="0" quotePrefix="0" xfId="1">
      <alignment horizontal="center" vertical="center"/>
    </xf>
    <xf numFmtId="164" fontId="1" fillId="0" borderId="24" applyAlignment="1" pivotButton="0" quotePrefix="0" xfId="1">
      <alignment horizontal="center" vertical="center" wrapText="1"/>
    </xf>
    <xf numFmtId="164" fontId="2" fillId="5" borderId="22" applyAlignment="1" pivotButton="0" quotePrefix="0" xfId="1">
      <alignment horizontal="center" vertical="center"/>
    </xf>
    <xf numFmtId="164" fontId="1" fillId="5" borderId="22" applyAlignment="1" pivotButton="0" quotePrefix="0" xfId="1">
      <alignment horizontal="center" vertical="center"/>
    </xf>
    <xf numFmtId="164" fontId="2" fillId="5" borderId="38" applyAlignment="1" pivotButton="0" quotePrefix="0" xfId="1">
      <alignment horizontal="center" vertical="center"/>
    </xf>
    <xf numFmtId="164" fontId="2" fillId="6" borderId="10" applyAlignment="1" pivotButton="0" quotePrefix="0" xfId="1">
      <alignment horizontal="center" vertical="center"/>
    </xf>
    <xf numFmtId="164" fontId="2" fillId="0" borderId="28" applyAlignment="1" pivotButton="0" quotePrefix="0" xfId="1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2" fillId="0" borderId="45" applyAlignment="1" pivotButton="0" quotePrefix="0" xfId="0">
      <alignment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44" pivotButton="0" quotePrefix="0" xfId="0"/>
    <xf numFmtId="164" fontId="18" fillId="0" borderId="2" applyAlignment="1" pivotButton="0" quotePrefix="0" xfId="1">
      <alignment horizontal="center" vertical="center" wrapText="1"/>
    </xf>
    <xf numFmtId="164" fontId="1" fillId="0" borderId="42" applyAlignment="1" pivotButton="0" quotePrefix="0" xfId="1">
      <alignment horizontal="center" vertical="center"/>
    </xf>
    <xf numFmtId="164" fontId="1" fillId="0" borderId="40" applyAlignment="1" pivotButton="0" quotePrefix="0" xfId="1">
      <alignment horizontal="center" vertical="center"/>
    </xf>
    <xf numFmtId="164" fontId="1" fillId="0" borderId="40" applyAlignment="1" pivotButton="0" quotePrefix="0" xfId="1">
      <alignment horizontal="center" vertical="center" shrinkToFit="1"/>
    </xf>
    <xf numFmtId="164" fontId="1" fillId="5" borderId="14" applyAlignment="1" pivotButton="0" quotePrefix="0" xfId="1">
      <alignment horizontal="center" vertical="center"/>
    </xf>
    <xf numFmtId="164" fontId="1" fillId="5" borderId="10" applyAlignment="1" pivotButton="0" quotePrefix="0" xfId="1">
      <alignment horizontal="center" vertical="center"/>
    </xf>
    <xf numFmtId="164" fontId="1" fillId="0" borderId="37" applyAlignment="1" pivotButton="0" quotePrefix="0" xfId="1">
      <alignment horizontal="center" vertical="center"/>
    </xf>
    <xf numFmtId="164" fontId="1" fillId="0" borderId="28" applyAlignment="1" pivotButton="0" quotePrefix="0" xfId="1">
      <alignment horizontal="center" vertical="center"/>
    </xf>
    <xf numFmtId="164" fontId="0" fillId="0" borderId="0" applyAlignment="1" pivotButton="0" quotePrefix="0" xfId="1">
      <alignment vertical="center"/>
    </xf>
    <xf numFmtId="164" fontId="22" fillId="0" borderId="0" applyAlignment="1" pivotButton="0" quotePrefix="0" xfId="1">
      <alignment vertical="center"/>
    </xf>
    <xf numFmtId="0" fontId="0" fillId="0" borderId="45" pivotButton="0" quotePrefix="0" xfId="0"/>
    <xf numFmtId="0" fontId="0" fillId="0" borderId="46" pivotButton="0" quotePrefix="0" xfId="0"/>
    <xf numFmtId="0" fontId="22" fillId="8" borderId="2" applyAlignment="1" pivotButton="0" quotePrefix="0" xfId="2">
      <alignment horizontal="center" vertical="center" wrapText="1"/>
    </xf>
    <xf numFmtId="164" fontId="26" fillId="2" borderId="2" applyAlignment="1" pivotButton="0" quotePrefix="0" xfId="1">
      <alignment horizontal="center" vertical="center"/>
    </xf>
    <xf numFmtId="164" fontId="22" fillId="0" borderId="3" applyAlignment="1" pivotButton="0" quotePrefix="0" xfId="1">
      <alignment horizontal="center" vertical="center"/>
    </xf>
    <xf numFmtId="0" fontId="22" fillId="0" borderId="2" applyAlignment="1" pivotButton="0" quotePrefix="0" xfId="2">
      <alignment horizontal="distributed" vertical="distributed"/>
    </xf>
    <xf numFmtId="164" fontId="22" fillId="2" borderId="3" applyAlignment="1" pivotButton="0" quotePrefix="0" xfId="1">
      <alignment horizontal="center" vertical="center"/>
    </xf>
    <xf numFmtId="164" fontId="22" fillId="9" borderId="46" applyAlignment="1" pivotButton="0" quotePrefix="0" xfId="1">
      <alignment vertical="center"/>
    </xf>
  </cellXfs>
  <cellStyles count="3">
    <cellStyle name="一般" xfId="0" builtinId="0"/>
    <cellStyle name="千分位" xfId="1" builtinId="3"/>
    <cellStyle name="一般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USER</author>
  </authors>
  <commentList>
    <comment ref="G7" authorId="0" shapeId="0">
      <text>
        <t>此欄位為自行開車填寫           每公里/6元
每公里/8元(113.01.01實施)</t>
      </text>
    </comment>
    <comment ref="L7" authorId="0" shapeId="0">
      <text>
        <t xml:space="preserve">
表格不敷使用時,請自行新增
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H5" authorId="0" shapeId="0">
      <text>
        <t>此欄位為自行開車填寫           每公里/6元
每公里/8元(113.01.01實施)</t>
      </text>
    </comment>
    <comment ref="O5" authorId="0" shapeId="0">
      <text>
        <t>113.01.01實施
南部旅館上限$2200(附憑證)
北.中.東部及離島旅館上限$2800(附憑證)</t>
      </text>
    </comment>
    <comment ref="P5" authorId="0" shapeId="0">
      <text>
        <t>實施
台南市(東.南.北.中西.安平.安南.歸仁.仁德.永康)九行政區$200
其他行政區及外縣市$400</t>
      </text>
    </comment>
    <comment ref="M7" authorId="0" shapeId="0">
      <text>
        <t xml:space="preserve">
表格不敷使用時,請自行新增
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H3" authorId="0" shapeId="0">
      <text>
        <t>此欄位為自行開車填寫           每公里/6元
每公里/8元(113.01.01實施)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Q43"/>
  <sheetViews>
    <sheetView view="pageBreakPreview" zoomScaleSheetLayoutView="100" workbookViewId="0">
      <selection activeCell="G7" sqref="G7:G8"/>
    </sheetView>
  </sheetViews>
  <sheetFormatPr baseColWidth="10" defaultColWidth="9" defaultRowHeight="18"/>
  <cols>
    <col width="3.33203125" customWidth="1" style="1" min="1" max="1"/>
    <col width="12.6640625" customWidth="1" style="1" min="2" max="2"/>
    <col width="4" bestFit="1" customWidth="1" style="1" min="3" max="4"/>
    <col width="8.33203125" customWidth="1" style="1" min="5" max="6"/>
    <col width="8.5" customWidth="1" style="1" min="7" max="8"/>
    <col width="9.33203125" customWidth="1" style="1" min="9" max="9"/>
    <col width="10.5" customWidth="1" style="1" min="10" max="10"/>
    <col width="14.33203125" customWidth="1" style="7" min="11" max="11"/>
    <col width="14.83203125" customWidth="1" style="7" min="12" max="12"/>
    <col width="19.6640625" customWidth="1" style="7" min="13" max="13"/>
    <col width="8.5" customWidth="1" style="1" min="14" max="14"/>
    <col width="9.5" customWidth="1" style="1" min="15" max="15"/>
    <col width="9" customWidth="1" style="1" min="16" max="16"/>
    <col width="10.5" customWidth="1" style="1" min="17" max="17"/>
    <col width="9" customWidth="1" style="1" min="18" max="16384"/>
  </cols>
  <sheetData>
    <row r="1" ht="21" customHeight="1" s="184">
      <c r="A1" s="157" t="inlineStr">
        <is>
          <t>成創永續股份有限公司</t>
        </is>
      </c>
    </row>
    <row r="2" ht="22" customHeight="1" s="184" thickBot="1">
      <c r="A2" s="185" t="inlineStr">
        <is>
          <t xml:space="preserve">                                                                                                          差旅報支申請單                                                年                       月                       日</t>
        </is>
      </c>
      <c r="B2" s="186" t="n"/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7" t="n"/>
    </row>
    <row r="3" ht="26.25" customFormat="1" customHeight="1" s="8">
      <c r="A3" s="140" t="inlineStr">
        <is>
          <t xml:space="preserve">姓名：     </t>
        </is>
      </c>
      <c r="B3" s="188" t="n"/>
      <c r="C3" s="188" t="n"/>
      <c r="D3" s="188" t="n"/>
      <c r="E3" s="188" t="n"/>
      <c r="F3" s="141" t="inlineStr">
        <is>
          <t xml:space="preserve">   廠牌：</t>
        </is>
      </c>
      <c r="G3" s="188" t="n"/>
      <c r="H3" s="188" t="n"/>
      <c r="I3" s="188" t="n"/>
      <c r="J3" s="16" t="inlineStr">
        <is>
          <t xml:space="preserve">   車號：</t>
        </is>
      </c>
      <c r="K3" s="16" t="n"/>
      <c r="L3" s="16" t="n"/>
      <c r="M3" s="16" t="n"/>
      <c r="N3" s="16" t="n"/>
      <c r="O3" s="16" t="n"/>
      <c r="P3" s="189" t="inlineStr">
        <is>
          <t>經辦人填寫</t>
        </is>
      </c>
      <c r="Q3" s="187" t="n"/>
    </row>
    <row r="4" ht="16" customFormat="1" customHeight="1" s="8" thickBot="1">
      <c r="A4" s="17" t="n"/>
      <c r="B4" s="18" t="n"/>
      <c r="C4" s="18" t="n"/>
      <c r="D4" s="18" t="n"/>
      <c r="E4" s="18" t="inlineStr">
        <is>
          <t xml:space="preserve">      (簽章)</t>
        </is>
      </c>
      <c r="F4" s="18" t="n"/>
      <c r="G4" s="18" t="n"/>
      <c r="H4" s="18" t="n"/>
      <c r="I4" s="18" t="n"/>
      <c r="J4" s="19" t="n"/>
      <c r="K4" s="19" t="n"/>
      <c r="L4" s="19" t="n"/>
      <c r="M4" s="19" t="n"/>
      <c r="N4" s="19" t="n"/>
      <c r="O4" s="19" t="n"/>
      <c r="P4" s="190" t="n"/>
      <c r="Q4" s="191" t="n"/>
    </row>
    <row r="5" ht="16" customFormat="1" customHeight="1" s="3">
      <c r="A5" s="192" t="inlineStr">
        <is>
          <t>編號</t>
        </is>
      </c>
      <c r="B5" s="2" t="inlineStr">
        <is>
          <t>事由</t>
        </is>
      </c>
      <c r="C5" s="193" t="inlineStr">
        <is>
          <t>日期</t>
        </is>
      </c>
      <c r="D5" s="194" t="n"/>
      <c r="E5" s="114" t="inlineStr">
        <is>
          <t>起迄地點</t>
        </is>
      </c>
      <c r="F5" s="195" t="n"/>
      <c r="G5" s="114" t="inlineStr">
        <is>
          <t>里程數</t>
        </is>
      </c>
      <c r="H5" s="114" t="inlineStr">
        <is>
          <t>火車</t>
        </is>
      </c>
      <c r="I5" s="193" t="inlineStr">
        <is>
          <t>高鐵</t>
        </is>
      </c>
      <c r="J5" s="10" t="inlineStr">
        <is>
          <t>其他費用</t>
        </is>
      </c>
      <c r="K5" s="196" t="n"/>
      <c r="L5" s="195" t="n"/>
      <c r="M5" s="10" t="inlineStr">
        <is>
          <t>說明</t>
        </is>
      </c>
      <c r="N5" s="114" t="inlineStr">
        <is>
          <t>旅館費</t>
        </is>
      </c>
      <c r="O5" s="114" t="inlineStr">
        <is>
          <t>差旅總額</t>
        </is>
      </c>
      <c r="P5" s="121" t="inlineStr">
        <is>
          <t>審核金額</t>
        </is>
      </c>
      <c r="Q5" s="121" t="inlineStr">
        <is>
          <t>備註</t>
        </is>
      </c>
    </row>
    <row r="6" ht="16.5" customFormat="1" customHeight="1" s="3" thickBot="1">
      <c r="A6" s="197" t="n"/>
      <c r="B6" s="4" t="inlineStr">
        <is>
          <t>公司</t>
        </is>
      </c>
      <c r="C6" s="198" t="n"/>
      <c r="D6" s="199" t="n"/>
      <c r="E6" s="115" t="inlineStr">
        <is>
          <t>起</t>
        </is>
      </c>
      <c r="F6" s="115" t="inlineStr">
        <is>
          <t>迄</t>
        </is>
      </c>
      <c r="G6" s="200" t="n"/>
      <c r="H6" s="200" t="n"/>
      <c r="I6" s="201" t="n"/>
      <c r="J6" s="11" t="inlineStr">
        <is>
          <t>合計$</t>
        </is>
      </c>
      <c r="K6" s="12" t="inlineStr">
        <is>
          <t>內容</t>
        </is>
      </c>
      <c r="L6" s="12" t="inlineStr">
        <is>
          <t>內容/$</t>
        </is>
      </c>
      <c r="M6" s="12" t="inlineStr">
        <is>
          <t>起迄地點</t>
        </is>
      </c>
      <c r="N6" s="200" t="n"/>
      <c r="O6" s="200" t="n"/>
      <c r="P6" s="202" t="n"/>
      <c r="Q6" s="202" t="n"/>
    </row>
    <row r="7" ht="19" customHeight="1" s="184">
      <c r="A7" s="105" t="n"/>
      <c r="B7" s="24" t="inlineStr">
        <is>
          <t>驗證/視察</t>
        </is>
      </c>
      <c r="C7" s="106" t="n">
        <v>1</v>
      </c>
      <c r="D7" s="106" t="n">
        <v>20</v>
      </c>
      <c r="E7" s="107" t="inlineStr">
        <is>
          <t>台南</t>
        </is>
      </c>
      <c r="F7" s="108" t="inlineStr">
        <is>
          <t>台北</t>
        </is>
      </c>
      <c r="G7" s="203" t="n"/>
      <c r="H7" s="204" t="n">
        <v>963</v>
      </c>
      <c r="I7" s="204" t="n">
        <v>2700</v>
      </c>
      <c r="J7" s="205">
        <f>SUM(L7:L8)</f>
        <v/>
      </c>
      <c r="K7" s="206" t="inlineStr">
        <is>
          <t>捷運</t>
        </is>
      </c>
      <c r="L7" s="206" t="n">
        <v>40</v>
      </c>
      <c r="M7" s="207" t="inlineStr">
        <is>
          <t xml:space="preserve">火車：沙崙-&gt;台南
捷運：台北車站-&gt;公館
</t>
        </is>
      </c>
      <c r="N7" s="203" t="n">
        <v>1600</v>
      </c>
      <c r="O7" s="205">
        <f>SUM(G7*6,H7:J7,N7)</f>
        <v/>
      </c>
      <c r="P7" s="164" t="n"/>
      <c r="Q7" s="208" t="n"/>
    </row>
    <row r="8" ht="20" customHeight="1" s="184">
      <c r="A8" s="209" t="n"/>
      <c r="B8" s="25" t="inlineStr">
        <is>
          <t>美妙公司</t>
        </is>
      </c>
      <c r="C8" s="200" t="n"/>
      <c r="D8" s="200" t="n"/>
      <c r="E8" s="200" t="n"/>
      <c r="F8" s="200" t="n"/>
      <c r="G8" s="200" t="n"/>
      <c r="H8" s="210" t="n"/>
      <c r="I8" s="210" t="n"/>
      <c r="J8" s="200" t="n"/>
      <c r="K8" s="206" t="inlineStr">
        <is>
          <t>計程車</t>
        </is>
      </c>
      <c r="L8" s="206" t="n">
        <v>350</v>
      </c>
      <c r="M8" s="200" t="n"/>
      <c r="N8" s="200" t="n"/>
      <c r="O8" s="200" t="n"/>
      <c r="P8" s="200" t="n"/>
      <c r="Q8" s="211" t="n"/>
    </row>
    <row r="9">
      <c r="A9" s="105" t="n"/>
      <c r="B9" s="13" t="n"/>
      <c r="C9" s="106" t="n"/>
      <c r="D9" s="106" t="n"/>
      <c r="E9" s="106" t="n"/>
      <c r="F9" s="109" t="n"/>
      <c r="G9" s="203" t="n"/>
      <c r="H9" s="203" t="n"/>
      <c r="I9" s="203" t="n"/>
      <c r="J9" s="205">
        <f>SUM(L9:L10)</f>
        <v/>
      </c>
      <c r="K9" s="206" t="n"/>
      <c r="L9" s="206" t="n"/>
      <c r="M9" s="212" t="n"/>
      <c r="N9" s="203" t="n"/>
      <c r="O9" s="205">
        <f>SUM(G9*6,H9:J9,N9)</f>
        <v/>
      </c>
      <c r="P9" s="166" t="n"/>
      <c r="Q9" s="213" t="n"/>
    </row>
    <row r="10">
      <c r="A10" s="209" t="n"/>
      <c r="B10" s="13" t="n"/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6" t="n"/>
      <c r="L10" s="206" t="n"/>
      <c r="M10" s="200" t="n"/>
      <c r="N10" s="200" t="n"/>
      <c r="O10" s="200" t="n"/>
      <c r="P10" s="200" t="n"/>
      <c r="Q10" s="211" t="n"/>
    </row>
    <row r="11">
      <c r="A11" s="105" t="n"/>
      <c r="B11" s="13" t="n"/>
      <c r="C11" s="106" t="n"/>
      <c r="D11" s="106" t="n"/>
      <c r="E11" s="106" t="n"/>
      <c r="F11" s="109" t="n"/>
      <c r="G11" s="203" t="n"/>
      <c r="H11" s="203" t="n"/>
      <c r="I11" s="203" t="n"/>
      <c r="J11" s="205">
        <f>SUM(L11:L12)</f>
        <v/>
      </c>
      <c r="K11" s="206" t="n"/>
      <c r="L11" s="206" t="n"/>
      <c r="M11" s="212" t="n"/>
      <c r="N11" s="203" t="n"/>
      <c r="O11" s="205">
        <f>SUM(G11*6,H11:J11,N11)</f>
        <v/>
      </c>
      <c r="P11" s="166" t="n"/>
      <c r="Q11" s="213" t="n"/>
    </row>
    <row r="12">
      <c r="A12" s="209" t="n"/>
      <c r="B12" s="13" t="n"/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6" t="n"/>
      <c r="L12" s="206" t="n"/>
      <c r="M12" s="200" t="n"/>
      <c r="N12" s="200" t="n"/>
      <c r="O12" s="200" t="n"/>
      <c r="P12" s="200" t="n"/>
      <c r="Q12" s="211" t="n"/>
    </row>
    <row r="13">
      <c r="A13" s="105" t="n"/>
      <c r="B13" s="14" t="n"/>
      <c r="C13" s="106" t="n"/>
      <c r="D13" s="106" t="n"/>
      <c r="E13" s="106" t="n"/>
      <c r="F13" s="109" t="n"/>
      <c r="G13" s="203" t="n"/>
      <c r="H13" s="203" t="n"/>
      <c r="I13" s="203" t="n"/>
      <c r="J13" s="205">
        <f>SUM(L13:L14)</f>
        <v/>
      </c>
      <c r="K13" s="206" t="n"/>
      <c r="L13" s="206" t="n"/>
      <c r="M13" s="212" t="n"/>
      <c r="N13" s="203" t="n"/>
      <c r="O13" s="205">
        <f>SUM(G13*6,H13:J13,N13)</f>
        <v/>
      </c>
      <c r="P13" s="166" t="n"/>
      <c r="Q13" s="213" t="n"/>
    </row>
    <row r="14">
      <c r="A14" s="209" t="n"/>
      <c r="B14" s="13" t="n"/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6" t="n"/>
      <c r="L14" s="206" t="n"/>
      <c r="M14" s="200" t="n"/>
      <c r="N14" s="200" t="n"/>
      <c r="O14" s="200" t="n"/>
      <c r="P14" s="200" t="n"/>
      <c r="Q14" s="211" t="n"/>
    </row>
    <row r="15">
      <c r="A15" s="105" t="n"/>
      <c r="B15" s="5" t="n"/>
      <c r="C15" s="106" t="n"/>
      <c r="D15" s="106" t="n"/>
      <c r="E15" s="106" t="n"/>
      <c r="F15" s="109" t="n"/>
      <c r="G15" s="203" t="n"/>
      <c r="H15" s="203" t="n"/>
      <c r="I15" s="203" t="n"/>
      <c r="J15" s="205">
        <f>SUM(L15:L16)</f>
        <v/>
      </c>
      <c r="K15" s="206" t="n"/>
      <c r="L15" s="206" t="n"/>
      <c r="M15" s="214" t="n"/>
      <c r="N15" s="203" t="n"/>
      <c r="O15" s="205">
        <f>SUM(G15*6,H15:J15,N15)</f>
        <v/>
      </c>
      <c r="P15" s="166" t="n"/>
      <c r="Q15" s="213" t="n"/>
    </row>
    <row r="16">
      <c r="A16" s="209" t="n"/>
      <c r="B16" s="5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6" t="n"/>
      <c r="L16" s="206" t="n"/>
      <c r="M16" s="200" t="n"/>
      <c r="N16" s="200" t="n"/>
      <c r="O16" s="200" t="n"/>
      <c r="P16" s="200" t="n"/>
      <c r="Q16" s="211" t="n"/>
    </row>
    <row r="17">
      <c r="A17" s="105" t="n"/>
      <c r="B17" s="5" t="n"/>
      <c r="C17" s="106" t="n"/>
      <c r="D17" s="106" t="n"/>
      <c r="E17" s="106" t="n"/>
      <c r="F17" s="109" t="n"/>
      <c r="G17" s="203" t="n"/>
      <c r="H17" s="203" t="n"/>
      <c r="I17" s="203" t="n"/>
      <c r="J17" s="205">
        <f>SUM(L17:L18)</f>
        <v/>
      </c>
      <c r="K17" s="206" t="n"/>
      <c r="L17" s="206" t="n"/>
      <c r="M17" s="214" t="n"/>
      <c r="N17" s="203" t="n"/>
      <c r="O17" s="205">
        <f>SUM(G17*6,H17:J17,N17)</f>
        <v/>
      </c>
      <c r="P17" s="166" t="n"/>
      <c r="Q17" s="213" t="n"/>
    </row>
    <row r="18">
      <c r="A18" s="209" t="n"/>
      <c r="B18" s="5" t="n"/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6" t="n"/>
      <c r="L18" s="206" t="n"/>
      <c r="M18" s="200" t="n"/>
      <c r="N18" s="200" t="n"/>
      <c r="O18" s="200" t="n"/>
      <c r="P18" s="200" t="n"/>
      <c r="Q18" s="211" t="n"/>
    </row>
    <row r="19">
      <c r="A19" s="105" t="n"/>
      <c r="B19" s="5" t="n"/>
      <c r="C19" s="106" t="n"/>
      <c r="D19" s="106" t="n"/>
      <c r="E19" s="106" t="n"/>
      <c r="F19" s="109" t="n"/>
      <c r="G19" s="203" t="n"/>
      <c r="H19" s="203" t="n"/>
      <c r="I19" s="203" t="n"/>
      <c r="J19" s="205">
        <f>SUM(L19:L20)</f>
        <v/>
      </c>
      <c r="K19" s="206" t="n"/>
      <c r="L19" s="206" t="n"/>
      <c r="M19" s="214" t="n"/>
      <c r="N19" s="203" t="n"/>
      <c r="O19" s="205">
        <f>SUM(G19*6,H19:J19,N19)</f>
        <v/>
      </c>
      <c r="P19" s="166" t="n"/>
      <c r="Q19" s="213" t="n"/>
    </row>
    <row r="20">
      <c r="A20" s="209" t="n"/>
      <c r="B20" s="5" t="n"/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6" t="n"/>
      <c r="L20" s="206" t="n"/>
      <c r="M20" s="200" t="n"/>
      <c r="N20" s="200" t="n"/>
      <c r="O20" s="200" t="n"/>
      <c r="P20" s="200" t="n"/>
      <c r="Q20" s="211" t="n"/>
    </row>
    <row r="21">
      <c r="A21" s="105" t="n"/>
      <c r="B21" s="5" t="n"/>
      <c r="C21" s="106" t="n"/>
      <c r="D21" s="106" t="n"/>
      <c r="E21" s="106" t="n"/>
      <c r="F21" s="109" t="n"/>
      <c r="G21" s="203" t="n"/>
      <c r="H21" s="203" t="n"/>
      <c r="I21" s="203" t="n"/>
      <c r="J21" s="205">
        <f>SUM(L21:L22)</f>
        <v/>
      </c>
      <c r="K21" s="206" t="n"/>
      <c r="L21" s="206" t="n"/>
      <c r="M21" s="214" t="n"/>
      <c r="N21" s="203" t="n"/>
      <c r="O21" s="205">
        <f>SUM(G21*6,H21:J21,N21)</f>
        <v/>
      </c>
      <c r="P21" s="166" t="n"/>
      <c r="Q21" s="213" t="n"/>
    </row>
    <row r="22">
      <c r="A22" s="209" t="n"/>
      <c r="B22" s="5" t="n"/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6" t="n"/>
      <c r="L22" s="206" t="n"/>
      <c r="M22" s="200" t="n"/>
      <c r="N22" s="200" t="n"/>
      <c r="O22" s="200" t="n"/>
      <c r="P22" s="200" t="n"/>
      <c r="Q22" s="211" t="n"/>
    </row>
    <row r="23">
      <c r="A23" s="105" t="n"/>
      <c r="B23" s="5" t="n"/>
      <c r="C23" s="106" t="n"/>
      <c r="D23" s="106" t="n"/>
      <c r="E23" s="106" t="n"/>
      <c r="F23" s="109" t="n"/>
      <c r="G23" s="203" t="n"/>
      <c r="H23" s="203" t="n"/>
      <c r="I23" s="203" t="n"/>
      <c r="J23" s="205">
        <f>SUM(L23:L24)</f>
        <v/>
      </c>
      <c r="K23" s="206" t="n"/>
      <c r="L23" s="206" t="n"/>
      <c r="M23" s="214" t="n"/>
      <c r="N23" s="203" t="n"/>
      <c r="O23" s="205">
        <f>SUM(G23*6,H23:J23,N23)</f>
        <v/>
      </c>
      <c r="P23" s="166" t="n"/>
      <c r="Q23" s="213" t="n"/>
    </row>
    <row r="24">
      <c r="A24" s="209" t="n"/>
      <c r="B24" s="5" t="n"/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6" t="n"/>
      <c r="L24" s="206" t="n"/>
      <c r="M24" s="200" t="n"/>
      <c r="N24" s="200" t="n"/>
      <c r="O24" s="200" t="n"/>
      <c r="P24" s="200" t="n"/>
      <c r="Q24" s="211" t="n"/>
    </row>
    <row r="25">
      <c r="A25" s="105" t="n"/>
      <c r="B25" s="5" t="n"/>
      <c r="C25" s="106" t="n"/>
      <c r="D25" s="106" t="n"/>
      <c r="E25" s="106" t="n"/>
      <c r="F25" s="109" t="n"/>
      <c r="G25" s="203" t="n"/>
      <c r="H25" s="203" t="n"/>
      <c r="I25" s="203" t="n"/>
      <c r="J25" s="205">
        <f>SUM(L25:L26)</f>
        <v/>
      </c>
      <c r="K25" s="206" t="n"/>
      <c r="L25" s="206" t="n"/>
      <c r="M25" s="214" t="n"/>
      <c r="N25" s="203" t="n"/>
      <c r="O25" s="205">
        <f>SUM(G25*6,H25:J25,N25)</f>
        <v/>
      </c>
      <c r="P25" s="166" t="n"/>
      <c r="Q25" s="213" t="n"/>
    </row>
    <row r="26">
      <c r="A26" s="209" t="n"/>
      <c r="B26" s="5" t="n"/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6" t="n"/>
      <c r="L26" s="206" t="n"/>
      <c r="M26" s="200" t="n"/>
      <c r="N26" s="200" t="n"/>
      <c r="O26" s="200" t="n"/>
      <c r="P26" s="200" t="n"/>
      <c r="Q26" s="211" t="n"/>
    </row>
    <row r="27">
      <c r="A27" s="105" t="n"/>
      <c r="B27" s="5" t="n"/>
      <c r="C27" s="106" t="n"/>
      <c r="D27" s="106" t="n"/>
      <c r="E27" s="106" t="n"/>
      <c r="F27" s="109" t="n"/>
      <c r="G27" s="203" t="n"/>
      <c r="H27" s="203" t="n"/>
      <c r="I27" s="203" t="n"/>
      <c r="J27" s="205">
        <f>SUM(L27:L28)</f>
        <v/>
      </c>
      <c r="K27" s="206" t="n"/>
      <c r="L27" s="206" t="n"/>
      <c r="M27" s="214" t="n"/>
      <c r="N27" s="203" t="n"/>
      <c r="O27" s="205">
        <f>SUM(G27*6,H27:J27,N27)</f>
        <v/>
      </c>
      <c r="P27" s="166" t="n"/>
      <c r="Q27" s="213" t="n"/>
    </row>
    <row r="28">
      <c r="A28" s="209" t="n"/>
      <c r="B28" s="5" t="n"/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6" t="n"/>
      <c r="L28" s="206" t="n"/>
      <c r="M28" s="200" t="n"/>
      <c r="N28" s="200" t="n"/>
      <c r="O28" s="200" t="n"/>
      <c r="P28" s="200" t="n"/>
      <c r="Q28" s="211" t="n"/>
    </row>
    <row r="29">
      <c r="A29" s="105" t="n"/>
      <c r="B29" s="5" t="n"/>
      <c r="C29" s="106" t="n"/>
      <c r="D29" s="106" t="n"/>
      <c r="E29" s="106" t="n"/>
      <c r="F29" s="109" t="n"/>
      <c r="G29" s="203" t="n"/>
      <c r="H29" s="203" t="n"/>
      <c r="I29" s="203" t="n"/>
      <c r="J29" s="205">
        <f>SUM(L29:L30)</f>
        <v/>
      </c>
      <c r="K29" s="206" t="n"/>
      <c r="L29" s="206" t="n"/>
      <c r="M29" s="214" t="n"/>
      <c r="N29" s="203" t="n"/>
      <c r="O29" s="205">
        <f>SUM(G29*6,H29:J29,N29)</f>
        <v/>
      </c>
      <c r="P29" s="166" t="n"/>
      <c r="Q29" s="213" t="n"/>
    </row>
    <row r="30">
      <c r="A30" s="209" t="n"/>
      <c r="B30" s="5" t="n"/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6" t="n"/>
      <c r="L30" s="206" t="n"/>
      <c r="M30" s="200" t="n"/>
      <c r="N30" s="200" t="n"/>
      <c r="O30" s="200" t="n"/>
      <c r="P30" s="200" t="n"/>
      <c r="Q30" s="211" t="n"/>
    </row>
    <row r="31">
      <c r="A31" s="105" t="n"/>
      <c r="B31" s="5" t="n"/>
      <c r="C31" s="106" t="n"/>
      <c r="D31" s="106" t="n"/>
      <c r="E31" s="106" t="n"/>
      <c r="F31" s="109" t="n"/>
      <c r="G31" s="203" t="n"/>
      <c r="H31" s="203" t="n"/>
      <c r="I31" s="203" t="n"/>
      <c r="J31" s="205">
        <f>SUM(L31:L32)</f>
        <v/>
      </c>
      <c r="K31" s="206" t="n"/>
      <c r="L31" s="206" t="n"/>
      <c r="M31" s="214" t="n"/>
      <c r="N31" s="203" t="n"/>
      <c r="O31" s="205">
        <f>SUM(G31*6,H31:J31,N31)</f>
        <v/>
      </c>
      <c r="P31" s="166" t="n"/>
      <c r="Q31" s="213" t="n"/>
    </row>
    <row r="32">
      <c r="A32" s="209" t="n"/>
      <c r="B32" s="5" t="n"/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6" t="n"/>
      <c r="L32" s="206" t="n"/>
      <c r="M32" s="200" t="n"/>
      <c r="N32" s="200" t="n"/>
      <c r="O32" s="200" t="n"/>
      <c r="P32" s="200" t="n"/>
      <c r="Q32" s="211" t="n"/>
    </row>
    <row r="33">
      <c r="A33" s="105" t="n"/>
      <c r="B33" s="5" t="n"/>
      <c r="C33" s="106" t="n"/>
      <c r="D33" s="106" t="n"/>
      <c r="E33" s="106" t="n"/>
      <c r="F33" s="109" t="n"/>
      <c r="G33" s="203" t="n"/>
      <c r="H33" s="203" t="n"/>
      <c r="I33" s="203" t="n"/>
      <c r="J33" s="205">
        <f>SUM(L33:L34)</f>
        <v/>
      </c>
      <c r="K33" s="206" t="n"/>
      <c r="L33" s="206" t="n"/>
      <c r="M33" s="214" t="n"/>
      <c r="N33" s="203" t="n"/>
      <c r="O33" s="205">
        <f>SUM(G33*6,H33:J33,N33)</f>
        <v/>
      </c>
      <c r="P33" s="166" t="n"/>
      <c r="Q33" s="213" t="n"/>
    </row>
    <row r="34">
      <c r="A34" s="209" t="n"/>
      <c r="B34" s="5" t="n"/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6" t="n"/>
      <c r="L34" s="206" t="n"/>
      <c r="M34" s="200" t="n"/>
      <c r="N34" s="200" t="n"/>
      <c r="O34" s="200" t="n"/>
      <c r="P34" s="200" t="n"/>
      <c r="Q34" s="211" t="n"/>
    </row>
    <row r="35">
      <c r="A35" s="105" t="n"/>
      <c r="B35" s="5" t="n"/>
      <c r="C35" s="106" t="n"/>
      <c r="D35" s="106" t="n"/>
      <c r="E35" s="106" t="n"/>
      <c r="F35" s="109" t="n"/>
      <c r="G35" s="203" t="n"/>
      <c r="H35" s="203" t="n"/>
      <c r="I35" s="203" t="n"/>
      <c r="J35" s="205">
        <f>SUM(L35:L36)</f>
        <v/>
      </c>
      <c r="K35" s="206" t="n"/>
      <c r="L35" s="206" t="n"/>
      <c r="M35" s="214" t="n"/>
      <c r="N35" s="203" t="n"/>
      <c r="O35" s="205">
        <f>SUM(G35*6,H35:J35,N35)</f>
        <v/>
      </c>
      <c r="P35" s="166" t="n"/>
      <c r="Q35" s="213" t="n"/>
    </row>
    <row r="36">
      <c r="A36" s="209" t="n"/>
      <c r="B36" s="5" t="n"/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6" t="n"/>
      <c r="L36" s="206" t="n"/>
      <c r="M36" s="200" t="n"/>
      <c r="N36" s="200" t="n"/>
      <c r="O36" s="200" t="n"/>
      <c r="P36" s="200" t="n"/>
      <c r="Q36" s="211" t="n"/>
    </row>
    <row r="37">
      <c r="A37" s="215" t="n"/>
      <c r="B37" s="5" t="n"/>
      <c r="C37" s="106" t="n"/>
      <c r="D37" s="106" t="n"/>
      <c r="E37" s="106" t="n"/>
      <c r="F37" s="109" t="n"/>
      <c r="G37" s="203" t="n"/>
      <c r="H37" s="203" t="n"/>
      <c r="I37" s="203" t="n"/>
      <c r="J37" s="205">
        <f>SUM(L37:L38)</f>
        <v/>
      </c>
      <c r="K37" s="206" t="n"/>
      <c r="L37" s="206" t="n"/>
      <c r="M37" s="214" t="n"/>
      <c r="N37" s="203" t="n"/>
      <c r="O37" s="205">
        <f>SUM(G37*6,H37:J37,N37)</f>
        <v/>
      </c>
      <c r="P37" s="165" t="n"/>
      <c r="Q37" s="216" t="n"/>
    </row>
    <row r="38" ht="15.5" customHeight="1" s="184">
      <c r="A38" s="209" t="n"/>
      <c r="B38" s="5" t="n"/>
      <c r="C38" s="200" t="n"/>
      <c r="D38" s="200" t="n"/>
      <c r="E38" s="200" t="n"/>
      <c r="F38" s="200" t="n"/>
      <c r="G38" s="200" t="n"/>
      <c r="H38" s="200" t="n"/>
      <c r="I38" s="200" t="n"/>
      <c r="J38" s="200" t="n"/>
      <c r="K38" s="206" t="n"/>
      <c r="L38" s="206" t="n"/>
      <c r="M38" s="200" t="n"/>
      <c r="N38" s="200" t="n"/>
      <c r="O38" s="200" t="n"/>
      <c r="P38" s="200" t="n"/>
      <c r="Q38" s="202" t="n"/>
    </row>
    <row r="39">
      <c r="A39" s="105" t="n"/>
      <c r="B39" s="5" t="n"/>
      <c r="C39" s="106" t="n"/>
      <c r="D39" s="106" t="n"/>
      <c r="E39" s="106" t="n"/>
      <c r="F39" s="109" t="n"/>
      <c r="G39" s="203" t="n"/>
      <c r="H39" s="203" t="n"/>
      <c r="I39" s="203" t="n"/>
      <c r="J39" s="205">
        <f>SUM(L39:L40)</f>
        <v/>
      </c>
      <c r="K39" s="206" t="n"/>
      <c r="L39" s="206" t="n"/>
      <c r="M39" s="214" t="n"/>
      <c r="N39" s="203" t="n"/>
      <c r="O39" s="205">
        <f>SUM(G39*6,H39:J39,N39)</f>
        <v/>
      </c>
      <c r="P39" s="167" t="n"/>
      <c r="Q39" s="213" t="n"/>
    </row>
    <row r="40" ht="19" customHeight="1" s="184" thickBot="1">
      <c r="A40" s="209" t="n"/>
      <c r="B40" s="6" t="n"/>
      <c r="C40" s="200" t="n"/>
      <c r="D40" s="200" t="n"/>
      <c r="E40" s="200" t="n"/>
      <c r="F40" s="200" t="n"/>
      <c r="G40" s="200" t="n"/>
      <c r="H40" s="200" t="n"/>
      <c r="I40" s="200" t="n"/>
      <c r="J40" s="200" t="n"/>
      <c r="K40" s="217" t="n"/>
      <c r="L40" s="217" t="n"/>
      <c r="M40" s="200" t="n"/>
      <c r="N40" s="200" t="n"/>
      <c r="O40" s="200" t="n"/>
      <c r="P40" s="210" t="n"/>
      <c r="Q40" s="211" t="n"/>
    </row>
    <row r="41" ht="30" customHeight="1" s="184">
      <c r="A41" s="131" t="inlineStr">
        <is>
          <t>合計</t>
        </is>
      </c>
      <c r="B41" s="188" t="n"/>
      <c r="C41" s="188" t="n"/>
      <c r="D41" s="188" t="n"/>
      <c r="E41" s="188" t="n"/>
      <c r="F41" s="194" t="n"/>
      <c r="G41" s="218">
        <f>SUM(G7:G40)</f>
        <v/>
      </c>
      <c r="H41" s="218">
        <f>SUM(H7:H40)</f>
        <v/>
      </c>
      <c r="I41" s="218">
        <f>SUM(I7:I40)</f>
        <v/>
      </c>
      <c r="J41" s="218">
        <f>SUM(J7:J40)</f>
        <v/>
      </c>
      <c r="K41" s="218" t="inlineStr">
        <is>
          <t xml:space="preserve"> </t>
        </is>
      </c>
      <c r="L41" s="219" t="n"/>
      <c r="M41" s="218" t="inlineStr">
        <is>
          <t xml:space="preserve"> </t>
        </is>
      </c>
      <c r="N41" s="218">
        <f>SUM(N7:N40)</f>
        <v/>
      </c>
      <c r="O41" s="220">
        <f>SUM(O7:O40)</f>
        <v/>
      </c>
      <c r="P41" s="221">
        <f>SUM(P7:P40)</f>
        <v/>
      </c>
      <c r="Q41" s="222" t="n"/>
    </row>
    <row r="42" ht="15.5" customHeight="1" s="184">
      <c r="A42" s="223" t="inlineStr">
        <is>
          <t xml:space="preserve">總經理：             </t>
        </is>
      </c>
      <c r="B42" s="186" t="n"/>
      <c r="C42" s="186" t="n"/>
      <c r="D42" s="186" t="n"/>
      <c r="E42" s="186" t="n"/>
      <c r="F42" s="186" t="n"/>
      <c r="G42" s="224" t="inlineStr">
        <is>
          <t xml:space="preserve">     經理 :</t>
        </is>
      </c>
      <c r="H42" s="186" t="n"/>
      <c r="I42" s="186" t="n"/>
      <c r="J42" s="186" t="n"/>
      <c r="K42" s="224" t="inlineStr">
        <is>
          <t xml:space="preserve">             經辦人：</t>
        </is>
      </c>
      <c r="L42" s="186" t="n"/>
      <c r="M42" s="186" t="n"/>
      <c r="N42" s="225" t="inlineStr">
        <is>
          <t>審核：</t>
        </is>
      </c>
      <c r="O42" s="186" t="n"/>
      <c r="P42" s="186" t="n"/>
      <c r="Q42" s="187" t="n"/>
    </row>
    <row r="43" ht="15.5" customHeight="1" s="184">
      <c r="A43" s="226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7" t="n"/>
      <c r="O43" s="227" t="n"/>
      <c r="P43" s="227" t="n"/>
      <c r="Q43" s="228" t="n"/>
    </row>
  </sheetData>
  <mergeCells count="259">
    <mergeCell ref="P35:P36"/>
    <mergeCell ref="E39:E40"/>
    <mergeCell ref="H9:H10"/>
    <mergeCell ref="J9:J10"/>
    <mergeCell ref="Q21:Q22"/>
    <mergeCell ref="N25:N26"/>
    <mergeCell ref="C29:C30"/>
    <mergeCell ref="D21:D22"/>
    <mergeCell ref="A7:A8"/>
    <mergeCell ref="E23:E24"/>
    <mergeCell ref="N21:N22"/>
    <mergeCell ref="P21:P22"/>
    <mergeCell ref="M7:M8"/>
    <mergeCell ref="H11:H12"/>
    <mergeCell ref="J11:J12"/>
    <mergeCell ref="Q23:Q24"/>
    <mergeCell ref="N5:N6"/>
    <mergeCell ref="H39:H40"/>
    <mergeCell ref="A27:A28"/>
    <mergeCell ref="P23:P24"/>
    <mergeCell ref="D13:D14"/>
    <mergeCell ref="D7:D8"/>
    <mergeCell ref="I17:I18"/>
    <mergeCell ref="N42:Q43"/>
    <mergeCell ref="P7:P8"/>
    <mergeCell ref="N39:N40"/>
    <mergeCell ref="D15:D16"/>
    <mergeCell ref="F31:F32"/>
    <mergeCell ref="Q27:Q28"/>
    <mergeCell ref="H13:H14"/>
    <mergeCell ref="G5:G6"/>
    <mergeCell ref="F13:F14"/>
    <mergeCell ref="G33:G34"/>
    <mergeCell ref="M17:M18"/>
    <mergeCell ref="A33:A34"/>
    <mergeCell ref="O17:O18"/>
    <mergeCell ref="C27:C28"/>
    <mergeCell ref="Q17:Q18"/>
    <mergeCell ref="Q11:Q12"/>
    <mergeCell ref="I29:I30"/>
    <mergeCell ref="F37:F38"/>
    <mergeCell ref="H37:H38"/>
    <mergeCell ref="J31:J32"/>
    <mergeCell ref="O27:O28"/>
    <mergeCell ref="H15:H16"/>
    <mergeCell ref="G35:G36"/>
    <mergeCell ref="I35:I36"/>
    <mergeCell ref="A35:A36"/>
    <mergeCell ref="O19:O20"/>
    <mergeCell ref="E25:E26"/>
    <mergeCell ref="I31:I32"/>
    <mergeCell ref="M9:M10"/>
    <mergeCell ref="O9:O10"/>
    <mergeCell ref="Q25:Q26"/>
    <mergeCell ref="E21:E22"/>
    <mergeCell ref="G21:G22"/>
    <mergeCell ref="O39:O40"/>
    <mergeCell ref="I15:I16"/>
    <mergeCell ref="H23:H24"/>
    <mergeCell ref="F7:F8"/>
    <mergeCell ref="J23:J24"/>
    <mergeCell ref="K42:M43"/>
    <mergeCell ref="P25:P26"/>
    <mergeCell ref="A41:F41"/>
    <mergeCell ref="O5:O6"/>
    <mergeCell ref="Q5:Q6"/>
    <mergeCell ref="D27:D28"/>
    <mergeCell ref="G23:G24"/>
    <mergeCell ref="M39:M40"/>
    <mergeCell ref="P9:P10"/>
    <mergeCell ref="E13:E14"/>
    <mergeCell ref="G13:G14"/>
    <mergeCell ref="E5:F5"/>
    <mergeCell ref="D17:D18"/>
    <mergeCell ref="G42:J43"/>
    <mergeCell ref="G7:G8"/>
    <mergeCell ref="D11:D12"/>
    <mergeCell ref="I7:I8"/>
    <mergeCell ref="O37:O38"/>
    <mergeCell ref="G39:G40"/>
    <mergeCell ref="P11:P12"/>
    <mergeCell ref="Q39:Q40"/>
    <mergeCell ref="J27:J28"/>
    <mergeCell ref="P3:Q4"/>
    <mergeCell ref="F35:F36"/>
    <mergeCell ref="M13:M14"/>
    <mergeCell ref="H17:H18"/>
    <mergeCell ref="O29:O30"/>
    <mergeCell ref="P39:P40"/>
    <mergeCell ref="F33:F34"/>
    <mergeCell ref="A37:A38"/>
    <mergeCell ref="C31:C32"/>
    <mergeCell ref="E31:E32"/>
    <mergeCell ref="I33:I34"/>
    <mergeCell ref="N29:N30"/>
    <mergeCell ref="M37:M38"/>
    <mergeCell ref="J35:J36"/>
    <mergeCell ref="M27:M28"/>
    <mergeCell ref="A3:E3"/>
    <mergeCell ref="O31:O32"/>
    <mergeCell ref="Q31:Q32"/>
    <mergeCell ref="E27:E28"/>
    <mergeCell ref="A21:A22"/>
    <mergeCell ref="D9:D10"/>
    <mergeCell ref="N13:N14"/>
    <mergeCell ref="H19:H20"/>
    <mergeCell ref="F9:F10"/>
    <mergeCell ref="P13:P14"/>
    <mergeCell ref="A17:A18"/>
    <mergeCell ref="J25:J26"/>
    <mergeCell ref="C17:C18"/>
    <mergeCell ref="M21:M22"/>
    <mergeCell ref="N31:N32"/>
    <mergeCell ref="D25:D26"/>
    <mergeCell ref="A2:Q2"/>
    <mergeCell ref="A23:A24"/>
    <mergeCell ref="D37:D38"/>
    <mergeCell ref="J21:J22"/>
    <mergeCell ref="G25:G26"/>
    <mergeCell ref="I19:I20"/>
    <mergeCell ref="P37:P38"/>
    <mergeCell ref="F11:F12"/>
    <mergeCell ref="P15:P16"/>
    <mergeCell ref="A19:A20"/>
    <mergeCell ref="M23:M24"/>
    <mergeCell ref="C19:C20"/>
    <mergeCell ref="O23:O24"/>
    <mergeCell ref="J5:L5"/>
    <mergeCell ref="D39:D40"/>
    <mergeCell ref="G9:G10"/>
    <mergeCell ref="I9:I10"/>
    <mergeCell ref="G27:G28"/>
    <mergeCell ref="A9:A10"/>
    <mergeCell ref="A39:A40"/>
    <mergeCell ref="D23:D24"/>
    <mergeCell ref="G11:G12"/>
    <mergeCell ref="I11:I12"/>
    <mergeCell ref="J39:J40"/>
    <mergeCell ref="N7:N8"/>
    <mergeCell ref="A11:A12"/>
    <mergeCell ref="H29:H30"/>
    <mergeCell ref="O33:O34"/>
    <mergeCell ref="Q33:Q34"/>
    <mergeCell ref="E29:E30"/>
    <mergeCell ref="M11:M12"/>
    <mergeCell ref="N15:N16"/>
    <mergeCell ref="H31:H32"/>
    <mergeCell ref="Q29:Q30"/>
    <mergeCell ref="N33:N34"/>
    <mergeCell ref="P27:P28"/>
    <mergeCell ref="O35:O36"/>
    <mergeCell ref="F21:F22"/>
    <mergeCell ref="M15:M16"/>
    <mergeCell ref="Q35:Q36"/>
    <mergeCell ref="N17:N18"/>
    <mergeCell ref="M25:M26"/>
    <mergeCell ref="P17:P18"/>
    <mergeCell ref="F17:F18"/>
    <mergeCell ref="O25:O26"/>
    <mergeCell ref="C21:C22"/>
    <mergeCell ref="Q19:Q20"/>
    <mergeCell ref="E15:E16"/>
    <mergeCell ref="G37:G38"/>
    <mergeCell ref="G15:G16"/>
    <mergeCell ref="I37:I38"/>
    <mergeCell ref="F23:F24"/>
    <mergeCell ref="O21:O22"/>
    <mergeCell ref="Q15:Q16"/>
    <mergeCell ref="N19:N20"/>
    <mergeCell ref="P19:P20"/>
    <mergeCell ref="C23:C24"/>
    <mergeCell ref="I39:I40"/>
    <mergeCell ref="A13:A14"/>
    <mergeCell ref="N9:N10"/>
    <mergeCell ref="O11:O12"/>
    <mergeCell ref="C7:C8"/>
    <mergeCell ref="F39:F40"/>
    <mergeCell ref="E7:E8"/>
    <mergeCell ref="I23:I24"/>
    <mergeCell ref="C39:C40"/>
    <mergeCell ref="O7:O8"/>
    <mergeCell ref="Q7:Q8"/>
    <mergeCell ref="D29:D30"/>
    <mergeCell ref="N11:N12"/>
    <mergeCell ref="F29:F30"/>
    <mergeCell ref="P5:P6"/>
    <mergeCell ref="H5:H6"/>
    <mergeCell ref="H33:H34"/>
    <mergeCell ref="M29:M30"/>
    <mergeCell ref="J33:J34"/>
    <mergeCell ref="D31:D32"/>
    <mergeCell ref="A31:A32"/>
    <mergeCell ref="J29:J30"/>
    <mergeCell ref="A42:F43"/>
    <mergeCell ref="I27:I28"/>
    <mergeCell ref="J19:J20"/>
    <mergeCell ref="H35:H36"/>
    <mergeCell ref="F15:F16"/>
    <mergeCell ref="J13:J14"/>
    <mergeCell ref="E17:E18"/>
    <mergeCell ref="G17:G18"/>
    <mergeCell ref="F25:F26"/>
    <mergeCell ref="C33:C34"/>
    <mergeCell ref="E33:E34"/>
    <mergeCell ref="J37:J38"/>
    <mergeCell ref="H21:H22"/>
    <mergeCell ref="E19:E20"/>
    <mergeCell ref="J15:J16"/>
    <mergeCell ref="G19:G20"/>
    <mergeCell ref="N37:N38"/>
    <mergeCell ref="A1:Q1"/>
    <mergeCell ref="P31:P32"/>
    <mergeCell ref="C35:C36"/>
    <mergeCell ref="C9:C10"/>
    <mergeCell ref="M35:M36"/>
    <mergeCell ref="E35:E36"/>
    <mergeCell ref="E9:E10"/>
    <mergeCell ref="I25:I26"/>
    <mergeCell ref="M31:M32"/>
    <mergeCell ref="A25:A26"/>
    <mergeCell ref="Q9:Q10"/>
    <mergeCell ref="C25:C26"/>
    <mergeCell ref="I21:I22"/>
    <mergeCell ref="C11:C12"/>
    <mergeCell ref="H7:H8"/>
    <mergeCell ref="E11:E12"/>
    <mergeCell ref="J7:J8"/>
    <mergeCell ref="N23:N24"/>
    <mergeCell ref="I5:I6"/>
    <mergeCell ref="G29:G30"/>
    <mergeCell ref="A5:A6"/>
    <mergeCell ref="D33:D34"/>
    <mergeCell ref="F27:F28"/>
    <mergeCell ref="H27:H28"/>
    <mergeCell ref="F3:I3"/>
    <mergeCell ref="I13:I14"/>
    <mergeCell ref="M33:M34"/>
    <mergeCell ref="A29:A30"/>
    <mergeCell ref="C5:D6"/>
    <mergeCell ref="C13:C14"/>
    <mergeCell ref="N27:N28"/>
    <mergeCell ref="D19:D20"/>
    <mergeCell ref="F19:F20"/>
    <mergeCell ref="O13:O14"/>
    <mergeCell ref="J17:J18"/>
    <mergeCell ref="Q13:Q14"/>
    <mergeCell ref="P33:P34"/>
    <mergeCell ref="M19:M20"/>
    <mergeCell ref="A15:A16"/>
    <mergeCell ref="C37:C38"/>
    <mergeCell ref="C15:C16"/>
    <mergeCell ref="E37:E38"/>
    <mergeCell ref="G31:G32"/>
    <mergeCell ref="P29:P30"/>
    <mergeCell ref="D35:D36"/>
    <mergeCell ref="H25:H26"/>
    <mergeCell ref="O15:O16"/>
    <mergeCell ref="Q37:Q38"/>
    <mergeCell ref="N35:N36"/>
  </mergeCells>
  <pageMargins left="0.1574803149606299" right="0.1574803149606299" top="0.1574803149606299" bottom="0.1574803149606299" header="0.1574803149606299" footer="0.1574803149606299"/>
  <pageSetup orientation="landscape" paperSize="9" scale="7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S39"/>
  <sheetViews>
    <sheetView zoomScaleNormal="100" zoomScaleSheetLayoutView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F21" sqref="F21:F22"/>
    </sheetView>
  </sheetViews>
  <sheetFormatPr baseColWidth="10" defaultColWidth="9" defaultRowHeight="18"/>
  <cols>
    <col width="3.33203125" customWidth="1" style="1" min="1" max="1"/>
    <col width="12.6640625" customWidth="1" style="1" min="2" max="2"/>
    <col width="4.33203125" bestFit="1" customWidth="1" style="1" min="3" max="3"/>
    <col width="7.5" bestFit="1" customWidth="1" style="1" min="4" max="4"/>
    <col width="8.33203125" customWidth="1" style="1" min="5" max="6"/>
    <col width="8.5" customWidth="1" style="1" min="7" max="9"/>
    <col width="9.33203125" customWidth="1" style="1" min="10" max="10"/>
    <col width="10.5" customWidth="1" style="1" min="11" max="11"/>
    <col width="14.33203125" customWidth="1" style="7" min="12" max="12"/>
    <col width="14.83203125" customWidth="1" style="7" min="13" max="13"/>
    <col width="19.6640625" customWidth="1" style="7" min="14" max="14"/>
    <col width="8.5" customWidth="1" style="1" min="15" max="16"/>
    <col width="10.1640625" bestFit="1" customWidth="1" style="1" min="17" max="17"/>
    <col width="9" customWidth="1" style="1" min="18" max="18"/>
    <col width="10.5" customWidth="1" style="1" min="19" max="19"/>
    <col width="9" customWidth="1" style="1" min="20" max="16384"/>
  </cols>
  <sheetData>
    <row r="1" ht="21" customHeight="1" s="184">
      <c r="A1" s="157" t="inlineStr">
        <is>
          <t>成創永續股份有限公司</t>
        </is>
      </c>
    </row>
    <row r="2" ht="22" customHeight="1" s="184" thickBot="1">
      <c r="A2" s="54" t="inlineStr">
        <is>
          <t xml:space="preserve">                                                                                                          差旅報支申請單                                             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>
        <v>115</v>
      </c>
      <c r="O2" s="56" t="inlineStr">
        <is>
          <t>年</t>
        </is>
      </c>
      <c r="P2" s="56" t="n">
        <v>6</v>
      </c>
      <c r="Q2" s="56" t="inlineStr">
        <is>
          <t>月</t>
        </is>
      </c>
      <c r="R2" s="56" t="n">
        <v>7</v>
      </c>
      <c r="S2" s="57" t="inlineStr">
        <is>
          <t>日</t>
        </is>
      </c>
    </row>
    <row r="3" ht="26.25" customFormat="1" customHeight="1" s="8">
      <c r="A3" s="140" t="inlineStr">
        <is>
          <t>姓名：  陳峙霖</t>
        </is>
      </c>
      <c r="B3" s="188" t="n"/>
      <c r="C3" s="188" t="n"/>
      <c r="D3" s="188" t="n"/>
      <c r="E3" s="188" t="n"/>
      <c r="F3" s="141" t="inlineStr">
        <is>
          <t xml:space="preserve">   廠牌：Tesla</t>
        </is>
      </c>
      <c r="G3" s="188" t="n"/>
      <c r="H3" s="188" t="n"/>
      <c r="I3" s="188" t="n"/>
      <c r="J3" s="188" t="n"/>
      <c r="K3" s="16" t="inlineStr">
        <is>
          <t xml:space="preserve">   車號：</t>
        </is>
      </c>
      <c r="L3" s="16" t="inlineStr">
        <is>
          <t>REA-8655</t>
        </is>
      </c>
      <c r="M3" s="16" t="n"/>
      <c r="N3" s="16" t="n"/>
      <c r="O3" s="16" t="n"/>
      <c r="P3" s="16" t="n"/>
      <c r="Q3" s="16" t="n"/>
      <c r="R3" s="189" t="inlineStr">
        <is>
          <t>經辦人填寫</t>
        </is>
      </c>
      <c r="S3" s="187" t="n"/>
    </row>
    <row r="4" ht="16" customFormat="1" customHeight="1" s="8" thickBot="1">
      <c r="A4" s="17" t="n"/>
      <c r="B4" s="18" t="n"/>
      <c r="C4" s="18" t="n"/>
      <c r="D4" s="18" t="n"/>
      <c r="E4" s="18" t="inlineStr">
        <is>
          <t xml:space="preserve">      (簽章)</t>
        </is>
      </c>
      <c r="F4" s="18" t="n"/>
      <c r="G4" s="18" t="n"/>
      <c r="H4" s="18" t="n"/>
      <c r="I4" s="18" t="n"/>
      <c r="J4" s="18" t="n"/>
      <c r="K4" s="19" t="n"/>
      <c r="L4" s="19" t="n"/>
      <c r="M4" s="19" t="n"/>
      <c r="N4" s="19" t="n"/>
      <c r="O4" s="19" t="n"/>
      <c r="P4" s="19" t="n"/>
      <c r="Q4" s="19" t="n"/>
      <c r="R4" s="190" t="n"/>
      <c r="S4" s="191" t="n"/>
    </row>
    <row r="5" ht="16" customFormat="1" customHeight="1" s="3">
      <c r="A5" s="142" t="inlineStr">
        <is>
          <t>編號</t>
        </is>
      </c>
      <c r="B5" s="2" t="inlineStr">
        <is>
          <t>事由</t>
        </is>
      </c>
      <c r="C5" s="193" t="inlineStr">
        <is>
          <t>日期</t>
        </is>
      </c>
      <c r="D5" s="194" t="n"/>
      <c r="E5" s="114" t="inlineStr">
        <is>
          <t>起迄地點</t>
        </is>
      </c>
      <c r="F5" s="195" t="n"/>
      <c r="G5" s="114" t="inlineStr">
        <is>
          <t>里程數</t>
        </is>
      </c>
      <c r="H5" s="114" t="inlineStr">
        <is>
          <t>油資</t>
        </is>
      </c>
      <c r="I5" s="114" t="inlineStr">
        <is>
          <t>火車</t>
        </is>
      </c>
      <c r="J5" s="193" t="inlineStr">
        <is>
          <t>高鐵</t>
        </is>
      </c>
      <c r="K5" s="10" t="inlineStr">
        <is>
          <t>其他費用</t>
        </is>
      </c>
      <c r="L5" s="196" t="n"/>
      <c r="M5" s="195" t="n"/>
      <c r="N5" s="10" t="inlineStr">
        <is>
          <t>說明</t>
        </is>
      </c>
      <c r="O5" s="114" t="inlineStr">
        <is>
          <t>旅館費</t>
        </is>
      </c>
      <c r="P5" s="193" t="inlineStr">
        <is>
          <t>膳雜費</t>
        </is>
      </c>
      <c r="Q5" s="114" t="inlineStr">
        <is>
          <t>差旅總額</t>
        </is>
      </c>
      <c r="R5" s="121" t="inlineStr">
        <is>
          <t>審核金額</t>
        </is>
      </c>
      <c r="S5" s="121" t="inlineStr">
        <is>
          <t>備註</t>
        </is>
      </c>
    </row>
    <row r="6" ht="16.5" customFormat="1" customHeight="1" s="3" thickBot="1">
      <c r="A6" s="229" t="n"/>
      <c r="B6" s="29" t="inlineStr">
        <is>
          <t>公司</t>
        </is>
      </c>
      <c r="C6" s="198" t="n"/>
      <c r="D6" s="199" t="n"/>
      <c r="E6" s="115" t="inlineStr">
        <is>
          <t>起</t>
        </is>
      </c>
      <c r="F6" s="115" t="inlineStr">
        <is>
          <t>迄</t>
        </is>
      </c>
      <c r="G6" s="200" t="n"/>
      <c r="H6" s="200" t="n"/>
      <c r="I6" s="200" t="n"/>
      <c r="J6" s="201" t="n"/>
      <c r="K6" s="11" t="inlineStr">
        <is>
          <t>合計$</t>
        </is>
      </c>
      <c r="L6" s="12" t="inlineStr">
        <is>
          <t>內容</t>
        </is>
      </c>
      <c r="M6" s="12" t="inlineStr">
        <is>
          <t>內容/$</t>
        </is>
      </c>
      <c r="N6" s="12" t="inlineStr">
        <is>
          <t>起迄地點</t>
        </is>
      </c>
      <c r="O6" s="200" t="n"/>
      <c r="P6" s="201" t="n"/>
      <c r="Q6" s="200" t="n"/>
      <c r="R6" s="202" t="n"/>
      <c r="S6" s="202" t="n"/>
    </row>
    <row r="7" ht="19" customHeight="1" s="184">
      <c r="A7" s="176" t="n">
        <v>1</v>
      </c>
      <c r="B7" s="31">
        <f>油費報告書5月!J4</f>
        <v/>
      </c>
      <c r="C7" s="107">
        <f>油費報告書5月!A4</f>
        <v/>
      </c>
      <c r="D7" s="107">
        <f>油費報告書5月!B4</f>
        <v/>
      </c>
      <c r="E7" s="107">
        <f>油費報告書5月!C4</f>
        <v/>
      </c>
      <c r="F7" s="108">
        <f>油費報告書5月!F4</f>
        <v/>
      </c>
      <c r="G7" s="205">
        <f>油費報告書5月!H4</f>
        <v/>
      </c>
      <c r="H7" s="205">
        <f>油費報告書5月!I4</f>
        <v/>
      </c>
      <c r="I7" s="205" t="n"/>
      <c r="J7" s="205" t="n"/>
      <c r="K7" s="205">
        <f>SUM(M7:M8)</f>
        <v/>
      </c>
      <c r="L7" s="206" t="n"/>
      <c r="M7" s="206" t="n"/>
      <c r="N7" s="230" t="n"/>
      <c r="O7" s="205" t="n"/>
      <c r="P7" s="205" t="n">
        <v>400</v>
      </c>
      <c r="Q7" s="205">
        <f>SUM(G7*8,I7:K7,P7)</f>
        <v/>
      </c>
      <c r="R7" s="164" t="n"/>
      <c r="S7" s="231" t="n"/>
    </row>
    <row r="8" ht="19" customHeight="1" s="184">
      <c r="A8" s="200" t="n"/>
      <c r="B8" s="30">
        <f>油費報告書5月!K4</f>
        <v/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6" t="n"/>
      <c r="M8" s="206" t="n"/>
      <c r="N8" s="200" t="n"/>
      <c r="O8" s="200" t="n"/>
      <c r="P8" s="200" t="n"/>
      <c r="Q8" s="200" t="n"/>
      <c r="R8" s="200" t="n"/>
      <c r="S8" s="211" t="n"/>
    </row>
    <row r="9">
      <c r="A9" s="107" t="n">
        <v>2</v>
      </c>
      <c r="B9" s="30">
        <f>油費報告書5月!J5</f>
        <v/>
      </c>
      <c r="C9" s="107">
        <f>油費報告書5月!A5</f>
        <v/>
      </c>
      <c r="D9" s="107">
        <f>油費報告書5月!B5</f>
        <v/>
      </c>
      <c r="E9" s="107">
        <f>油費報告書5月!C5</f>
        <v/>
      </c>
      <c r="F9" s="108">
        <f>油費報告書5月!F5</f>
        <v/>
      </c>
      <c r="G9" s="205">
        <f>油費報告書5月!H5</f>
        <v/>
      </c>
      <c r="H9" s="205">
        <f>油費報告書5月!I5</f>
        <v/>
      </c>
      <c r="I9" s="205" t="n"/>
      <c r="J9" s="205" t="n"/>
      <c r="K9" s="205">
        <f>SUM(M9:M10)</f>
        <v/>
      </c>
      <c r="L9" s="206" t="n"/>
      <c r="M9" s="206" t="n"/>
      <c r="N9" s="230" t="n"/>
      <c r="O9" s="205" t="n"/>
      <c r="P9" s="205" t="n">
        <v>400</v>
      </c>
      <c r="Q9" s="205">
        <f>SUM(G9*8,I9:K9,P9)</f>
        <v/>
      </c>
      <c r="R9" s="166" t="n"/>
      <c r="S9" s="232" t="n"/>
    </row>
    <row r="10">
      <c r="A10" s="200" t="n"/>
      <c r="B10" s="30">
        <f>油費報告書5月!K5</f>
        <v/>
      </c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0" t="n"/>
      <c r="L10" s="206" t="n"/>
      <c r="M10" s="206" t="n"/>
      <c r="N10" s="200" t="n"/>
      <c r="O10" s="200" t="n"/>
      <c r="P10" s="200" t="n"/>
      <c r="Q10" s="200" t="n"/>
      <c r="R10" s="200" t="n"/>
      <c r="S10" s="211" t="n"/>
    </row>
    <row r="11">
      <c r="A11" s="107" t="n">
        <v>3</v>
      </c>
      <c r="B11" s="30">
        <f>油費報告書5月!J6</f>
        <v/>
      </c>
      <c r="C11" s="107">
        <f>油費報告書5月!A6</f>
        <v/>
      </c>
      <c r="D11" s="107">
        <f>油費報告書5月!B6</f>
        <v/>
      </c>
      <c r="E11" s="107">
        <f>油費報告書5月!C6</f>
        <v/>
      </c>
      <c r="F11" s="108">
        <f>油費報告書5月!F6</f>
        <v/>
      </c>
      <c r="G11" s="205">
        <f>油費報告書5月!H6</f>
        <v/>
      </c>
      <c r="H11" s="205">
        <f>油費報告書5月!I6</f>
        <v/>
      </c>
      <c r="I11" s="205" t="n"/>
      <c r="J11" s="205" t="n"/>
      <c r="K11" s="205">
        <f>SUM(M11:M12)</f>
        <v/>
      </c>
      <c r="L11" s="206" t="n"/>
      <c r="M11" s="206" t="n"/>
      <c r="N11" s="230" t="n"/>
      <c r="O11" s="205" t="n"/>
      <c r="P11" s="205" t="n">
        <v>400</v>
      </c>
      <c r="Q11" s="205">
        <f>SUM(G11*8,I11:K11,P11)</f>
        <v/>
      </c>
      <c r="R11" s="166" t="n"/>
      <c r="S11" s="232" t="n"/>
    </row>
    <row r="12">
      <c r="A12" s="200" t="n"/>
      <c r="B12" s="30">
        <f>油費報告書5月!K6</f>
        <v/>
      </c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0" t="n"/>
      <c r="L12" s="206" t="n"/>
      <c r="M12" s="206" t="n"/>
      <c r="N12" s="200" t="n"/>
      <c r="O12" s="200" t="n"/>
      <c r="P12" s="200" t="n"/>
      <c r="Q12" s="200" t="n"/>
      <c r="R12" s="200" t="n"/>
      <c r="S12" s="211" t="n"/>
    </row>
    <row r="13">
      <c r="A13" s="107" t="n">
        <v>4</v>
      </c>
      <c r="B13" s="30">
        <f>油費報告書5月!J7</f>
        <v/>
      </c>
      <c r="C13" s="107">
        <f>油費報告書5月!A7</f>
        <v/>
      </c>
      <c r="D13" s="107">
        <f>油費報告書5月!B7</f>
        <v/>
      </c>
      <c r="E13" s="107">
        <f>油費報告書5月!C7</f>
        <v/>
      </c>
      <c r="F13" s="108">
        <f>油費報告書5月!F7</f>
        <v/>
      </c>
      <c r="G13" s="205">
        <f>油費報告書5月!H7</f>
        <v/>
      </c>
      <c r="H13" s="205">
        <f>油費報告書5月!I7</f>
        <v/>
      </c>
      <c r="I13" s="205" t="n"/>
      <c r="J13" s="205" t="n"/>
      <c r="K13" s="205">
        <f>SUM(M13:M14)</f>
        <v/>
      </c>
      <c r="L13" s="206" t="n"/>
      <c r="M13" s="206" t="n"/>
      <c r="N13" s="230" t="n"/>
      <c r="O13" s="205" t="n"/>
      <c r="P13" s="205" t="n">
        <v>400</v>
      </c>
      <c r="Q13" s="205">
        <f>SUM(G13*8,I13:K13,P13)</f>
        <v/>
      </c>
      <c r="R13" s="166" t="n"/>
      <c r="S13" s="232" t="n"/>
    </row>
    <row r="14">
      <c r="A14" s="200" t="n"/>
      <c r="B14" s="30">
        <f>油費報告書5月!K7</f>
        <v/>
      </c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0" t="n"/>
      <c r="L14" s="206" t="n"/>
      <c r="M14" s="206" t="n"/>
      <c r="N14" s="200" t="n"/>
      <c r="O14" s="200" t="n"/>
      <c r="P14" s="200" t="n"/>
      <c r="Q14" s="200" t="n"/>
      <c r="R14" s="200" t="n"/>
      <c r="S14" s="211" t="n"/>
    </row>
    <row r="15">
      <c r="A15" s="107" t="n">
        <v>5</v>
      </c>
      <c r="B15" s="30">
        <f>油費報告書5月!J8</f>
        <v/>
      </c>
      <c r="C15" s="107">
        <f>油費報告書5月!A8</f>
        <v/>
      </c>
      <c r="D15" s="177">
        <f>油費報告書5月!B8</f>
        <v/>
      </c>
      <c r="E15" s="107">
        <f>油費報告書5月!C8</f>
        <v/>
      </c>
      <c r="F15" s="108">
        <f>油費報告書5月!F8</f>
        <v/>
      </c>
      <c r="G15" s="205">
        <f>油費報告書5月!H8</f>
        <v/>
      </c>
      <c r="H15" s="205">
        <f>油費報告書5月!I8</f>
        <v/>
      </c>
      <c r="I15" s="205" t="n"/>
      <c r="J15" s="205" t="n"/>
      <c r="K15" s="205">
        <f>SUM(M15:M16)</f>
        <v/>
      </c>
      <c r="L15" s="206" t="n"/>
      <c r="M15" s="206" t="n"/>
      <c r="N15" s="206" t="n"/>
      <c r="O15" s="205" t="n"/>
      <c r="P15" s="205" t="n">
        <v>400</v>
      </c>
      <c r="Q15" s="205">
        <f>SUM(G15*8,I15:K15,P15)</f>
        <v/>
      </c>
      <c r="R15" s="166" t="n"/>
      <c r="S15" s="232" t="n"/>
    </row>
    <row r="16" ht="18" customHeight="1" s="184">
      <c r="A16" s="200" t="n"/>
      <c r="B16" s="30">
        <f>油費報告書5月!K8</f>
        <v/>
      </c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6" t="n"/>
      <c r="M16" s="206" t="n"/>
      <c r="N16" s="200" t="n"/>
      <c r="O16" s="200" t="n"/>
      <c r="P16" s="200" t="n"/>
      <c r="Q16" s="200" t="n"/>
      <c r="R16" s="200" t="n"/>
      <c r="S16" s="211" t="n"/>
    </row>
    <row r="17">
      <c r="A17" s="107" t="n">
        <v>6</v>
      </c>
      <c r="B17" s="30">
        <f>油費報告書5月!J9</f>
        <v/>
      </c>
      <c r="C17" s="107">
        <f>油費報告書5月!A9</f>
        <v/>
      </c>
      <c r="D17" s="107">
        <f>油費報告書5月!B9</f>
        <v/>
      </c>
      <c r="E17" s="107">
        <f>油費報告書5月!C9</f>
        <v/>
      </c>
      <c r="F17" s="108">
        <f>油費報告書5月!F9</f>
        <v/>
      </c>
      <c r="G17" s="205">
        <f>油費報告書5月!H9</f>
        <v/>
      </c>
      <c r="H17" s="205">
        <f>油費報告書5月!I9</f>
        <v/>
      </c>
      <c r="I17" s="205" t="n"/>
      <c r="J17" s="205" t="n"/>
      <c r="K17" s="205">
        <f>SUM(M17:M18)</f>
        <v/>
      </c>
      <c r="L17" s="206" t="n"/>
      <c r="M17" s="206" t="n"/>
      <c r="N17" s="206" t="n"/>
      <c r="O17" s="205" t="n"/>
      <c r="P17" s="205" t="n">
        <v>400</v>
      </c>
      <c r="Q17" s="205">
        <f>SUM(G17*8,I17:K17,P17)</f>
        <v/>
      </c>
      <c r="R17" s="166" t="n"/>
      <c r="S17" s="232" t="n"/>
    </row>
    <row r="18">
      <c r="A18" s="200" t="n"/>
      <c r="B18" s="30">
        <f>油費報告書5月!K9</f>
        <v/>
      </c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0" t="n"/>
      <c r="L18" s="206" t="n"/>
      <c r="M18" s="206" t="n"/>
      <c r="N18" s="200" t="n"/>
      <c r="O18" s="200" t="n"/>
      <c r="P18" s="200" t="n"/>
      <c r="Q18" s="200" t="n"/>
      <c r="R18" s="200" t="n"/>
      <c r="S18" s="211" t="n"/>
    </row>
    <row r="19">
      <c r="A19" s="107" t="n">
        <v>7</v>
      </c>
      <c r="B19" s="30">
        <f>油費報告書5月!J10</f>
        <v/>
      </c>
      <c r="C19" s="107">
        <f>油費報告書5月!A10</f>
        <v/>
      </c>
      <c r="D19" s="108">
        <f>油費報告書5月!B10</f>
        <v/>
      </c>
      <c r="E19" s="107">
        <f>油費報告書5月!C10</f>
        <v/>
      </c>
      <c r="F19" s="108">
        <f>油費報告書5月!F10</f>
        <v/>
      </c>
      <c r="G19" s="205">
        <f>油費報告書5月!H10</f>
        <v/>
      </c>
      <c r="H19" s="205">
        <f>油費報告書5月!I10</f>
        <v/>
      </c>
      <c r="I19" s="205" t="n"/>
      <c r="J19" s="205" t="n"/>
      <c r="K19" s="205">
        <f>SUM(M19:M20)</f>
        <v/>
      </c>
      <c r="L19" s="206" t="n"/>
      <c r="M19" s="206" t="n"/>
      <c r="N19" s="206" t="n"/>
      <c r="O19" s="205" t="n"/>
      <c r="P19" s="205" t="n">
        <v>400</v>
      </c>
      <c r="Q19" s="205">
        <f>SUM(G19*8,I19:K19,P19)</f>
        <v/>
      </c>
      <c r="R19" s="166" t="n"/>
      <c r="S19" s="233" t="n"/>
    </row>
    <row r="20" ht="18" customHeight="1" s="184">
      <c r="A20" s="200" t="n"/>
      <c r="B20" s="30">
        <f>油費報告書5月!K10</f>
        <v/>
      </c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6" t="n"/>
      <c r="M20" s="206" t="n"/>
      <c r="N20" s="200" t="n"/>
      <c r="O20" s="200" t="n"/>
      <c r="P20" s="200" t="n"/>
      <c r="Q20" s="200" t="n"/>
      <c r="R20" s="200" t="n"/>
      <c r="S20" s="211" t="n"/>
    </row>
    <row r="21">
      <c r="A21" s="107" t="n">
        <v>8</v>
      </c>
      <c r="B21" s="30">
        <f>油費報告書5月!J11</f>
        <v/>
      </c>
      <c r="C21" s="107">
        <f>油費報告書5月!A11</f>
        <v/>
      </c>
      <c r="D21" s="107">
        <f>油費報告書5月!B11</f>
        <v/>
      </c>
      <c r="E21" s="107">
        <f>油費報告書5月!C11</f>
        <v/>
      </c>
      <c r="F21" s="108">
        <f>油費報告書5月!F11</f>
        <v/>
      </c>
      <c r="G21" s="205">
        <f>油費報告書5月!H11</f>
        <v/>
      </c>
      <c r="H21" s="205">
        <f>油費報告書5月!I11</f>
        <v/>
      </c>
      <c r="I21" s="205" t="n"/>
      <c r="J21" s="205" t="n"/>
      <c r="K21" s="205">
        <f>SUM(M21:M22)</f>
        <v/>
      </c>
      <c r="L21" s="206" t="n"/>
      <c r="M21" s="206" t="n"/>
      <c r="N21" s="206" t="n"/>
      <c r="O21" s="205" t="n"/>
      <c r="P21" s="205" t="n">
        <v>400</v>
      </c>
      <c r="Q21" s="205">
        <f>SUM(G21*8,I21:K21,P21)</f>
        <v/>
      </c>
      <c r="R21" s="166" t="n"/>
      <c r="S21" s="232" t="n"/>
    </row>
    <row r="22">
      <c r="A22" s="200" t="n"/>
      <c r="B22" s="30">
        <f>油費報告書5月!K11</f>
        <v/>
      </c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0" t="n"/>
      <c r="L22" s="206" t="n"/>
      <c r="M22" s="206" t="n"/>
      <c r="N22" s="200" t="n"/>
      <c r="O22" s="200" t="n"/>
      <c r="P22" s="200" t="n"/>
      <c r="Q22" s="200" t="n"/>
      <c r="R22" s="200" t="n"/>
      <c r="S22" s="211" t="n"/>
    </row>
    <row r="23" ht="27" customHeight="1" s="184">
      <c r="A23" s="107" t="n">
        <v>9</v>
      </c>
      <c r="B23" s="30">
        <f>油費報告書5月!J12</f>
        <v/>
      </c>
      <c r="C23" s="107">
        <f>油費報告書5月!A12</f>
        <v/>
      </c>
      <c r="D23" s="107">
        <f>油費報告書5月!B12</f>
        <v/>
      </c>
      <c r="E23" s="107">
        <f>油費報告書5月!C12</f>
        <v/>
      </c>
      <c r="F23" s="108">
        <f>油費報告書5月!F12</f>
        <v/>
      </c>
      <c r="G23" s="205">
        <f>油費報告書5月!H12</f>
        <v/>
      </c>
      <c r="H23" s="205">
        <f>油費報告書5月!I12</f>
        <v/>
      </c>
      <c r="I23" s="205" t="n"/>
      <c r="J23" s="205" t="n"/>
      <c r="K23" s="205">
        <f>SUM(M23:M24)</f>
        <v/>
      </c>
      <c r="L23" s="206" t="n"/>
      <c r="M23" s="206" t="n"/>
      <c r="N23" s="206" t="n"/>
      <c r="O23" s="205" t="n"/>
      <c r="P23" s="205" t="n">
        <v>400</v>
      </c>
      <c r="Q23" s="205">
        <f>SUM(G23*8,I23:K23,P23)</f>
        <v/>
      </c>
      <c r="R23" s="166" t="n"/>
      <c r="S23" s="232" t="n"/>
    </row>
    <row r="24" ht="33" customHeight="1" s="184">
      <c r="A24" s="200" t="n"/>
      <c r="B24" s="30">
        <f>油費報告書5月!K12</f>
        <v/>
      </c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0" t="n"/>
      <c r="L24" s="206" t="n"/>
      <c r="M24" s="206" t="n"/>
      <c r="N24" s="200" t="n"/>
      <c r="O24" s="200" t="n"/>
      <c r="P24" s="200" t="n"/>
      <c r="Q24" s="200" t="n"/>
      <c r="R24" s="200" t="n"/>
      <c r="S24" s="211" t="n"/>
    </row>
    <row r="25">
      <c r="A25" s="107" t="n">
        <v>10</v>
      </c>
      <c r="B25" s="30">
        <f>油費報告書5月!J13</f>
        <v/>
      </c>
      <c r="C25" s="107">
        <f>油費報告書5月!A13</f>
        <v/>
      </c>
      <c r="D25" s="107">
        <f>油費報告書5月!B13</f>
        <v/>
      </c>
      <c r="E25" s="107">
        <f>油費報告書5月!C13</f>
        <v/>
      </c>
      <c r="F25" s="108">
        <f>油費報告書5月!F13</f>
        <v/>
      </c>
      <c r="G25" s="205">
        <f>油費報告書5月!H13</f>
        <v/>
      </c>
      <c r="H25" s="205">
        <f>油費報告書5月!I13</f>
        <v/>
      </c>
      <c r="I25" s="205" t="n"/>
      <c r="J25" s="205" t="n"/>
      <c r="K25" s="205">
        <f>SUM(M25:M26)</f>
        <v/>
      </c>
      <c r="L25" s="206" t="n"/>
      <c r="M25" s="206" t="n"/>
      <c r="N25" s="206" t="n"/>
      <c r="O25" s="205" t="n"/>
      <c r="P25" s="205" t="n">
        <v>400</v>
      </c>
      <c r="Q25" s="205">
        <f>SUM(G25*8,I25:K25,P25)</f>
        <v/>
      </c>
      <c r="R25" s="166" t="n"/>
      <c r="S25" s="232" t="n"/>
    </row>
    <row r="26">
      <c r="A26" s="200" t="n"/>
      <c r="B26" s="30">
        <f>油費報告書5月!K13</f>
        <v/>
      </c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0" t="n"/>
      <c r="L26" s="206" t="n"/>
      <c r="M26" s="206" t="n"/>
      <c r="N26" s="200" t="n"/>
      <c r="O26" s="200" t="n"/>
      <c r="P26" s="200" t="n"/>
      <c r="Q26" s="200" t="n"/>
      <c r="R26" s="200" t="n"/>
      <c r="S26" s="211" t="n"/>
    </row>
    <row r="27">
      <c r="A27" s="107" t="n">
        <v>11</v>
      </c>
      <c r="B27" s="30">
        <f>油費報告書5月!J14</f>
        <v/>
      </c>
      <c r="C27" s="107">
        <f>油費報告書5月!A14</f>
        <v/>
      </c>
      <c r="D27" s="107">
        <f>油費報告書5月!B14</f>
        <v/>
      </c>
      <c r="E27" s="107">
        <f>油費報告書5月!C14</f>
        <v/>
      </c>
      <c r="F27" s="108">
        <f>油費報告書5月!F14</f>
        <v/>
      </c>
      <c r="G27" s="205">
        <f>油費報告書5月!H14</f>
        <v/>
      </c>
      <c r="H27" s="205">
        <f>油費報告書5月!I14</f>
        <v/>
      </c>
      <c r="I27" s="205" t="n"/>
      <c r="J27" s="205" t="n"/>
      <c r="K27" s="205">
        <f>SUM(M27:M28)</f>
        <v/>
      </c>
      <c r="L27" s="206" t="n"/>
      <c r="M27" s="206" t="n"/>
      <c r="N27" s="206" t="n"/>
      <c r="O27" s="205" t="n"/>
      <c r="P27" s="205" t="n">
        <v>400</v>
      </c>
      <c r="Q27" s="205">
        <f>SUM(G27*8,I27:K27,P27)</f>
        <v/>
      </c>
      <c r="R27" s="166" t="n"/>
      <c r="S27" s="232" t="n"/>
    </row>
    <row r="28">
      <c r="A28" s="200" t="n"/>
      <c r="B28" s="30">
        <f>油費報告書5月!K14</f>
        <v/>
      </c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0" t="n"/>
      <c r="L28" s="206" t="n"/>
      <c r="M28" s="206" t="n"/>
      <c r="N28" s="200" t="n"/>
      <c r="O28" s="200" t="n"/>
      <c r="P28" s="200" t="n"/>
      <c r="Q28" s="200" t="n"/>
      <c r="R28" s="200" t="n"/>
      <c r="S28" s="211" t="n"/>
    </row>
    <row r="29">
      <c r="A29" s="107" t="n">
        <v>12</v>
      </c>
      <c r="B29" s="30">
        <f>油費報告書5月!J15</f>
        <v/>
      </c>
      <c r="C29" s="107">
        <f>油費報告書5月!A15</f>
        <v/>
      </c>
      <c r="D29" s="107">
        <f>油費報告書5月!B15</f>
        <v/>
      </c>
      <c r="E29" s="107">
        <f>油費報告書5月!C15</f>
        <v/>
      </c>
      <c r="F29" s="108">
        <f>油費報告書5月!F15</f>
        <v/>
      </c>
      <c r="G29" s="205">
        <f>油費報告書5月!H15</f>
        <v/>
      </c>
      <c r="H29" s="205">
        <f>油費報告書5月!I15</f>
        <v/>
      </c>
      <c r="I29" s="205" t="n"/>
      <c r="J29" s="205" t="n"/>
      <c r="K29" s="205">
        <f>SUM(M29:M30)</f>
        <v/>
      </c>
      <c r="L29" s="206" t="n"/>
      <c r="M29" s="206" t="n"/>
      <c r="N29" s="206" t="n"/>
      <c r="O29" s="205" t="n"/>
      <c r="P29" s="205" t="n">
        <v>400</v>
      </c>
      <c r="Q29" s="205">
        <f>SUM(G29*8,I29:K29,P29)</f>
        <v/>
      </c>
      <c r="R29" s="166" t="n"/>
      <c r="S29" s="232" t="n"/>
    </row>
    <row r="30">
      <c r="A30" s="200" t="n"/>
      <c r="B30" s="30">
        <f>油費報告書5月!K15</f>
        <v/>
      </c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0" t="n"/>
      <c r="L30" s="206" t="n"/>
      <c r="M30" s="206" t="n"/>
      <c r="N30" s="200" t="n"/>
      <c r="O30" s="200" t="n"/>
      <c r="P30" s="200" t="n"/>
      <c r="Q30" s="200" t="n"/>
      <c r="R30" s="200" t="n"/>
      <c r="S30" s="211" t="n"/>
    </row>
    <row r="31">
      <c r="A31" s="107" t="n">
        <v>13</v>
      </c>
      <c r="B31" s="30">
        <f>油費報告書5月!J16</f>
        <v/>
      </c>
      <c r="C31" s="107">
        <f>油費報告書5月!A16</f>
        <v/>
      </c>
      <c r="D31" s="107">
        <f>油費報告書5月!B16</f>
        <v/>
      </c>
      <c r="E31" s="107">
        <f>油費報告書5月!C16</f>
        <v/>
      </c>
      <c r="F31" s="108">
        <f>油費報告書5月!F16</f>
        <v/>
      </c>
      <c r="G31" s="205">
        <f>油費報告書5月!H16</f>
        <v/>
      </c>
      <c r="H31" s="205">
        <f>油費報告書5月!I16</f>
        <v/>
      </c>
      <c r="I31" s="205" t="n"/>
      <c r="J31" s="205" t="n"/>
      <c r="K31" s="205">
        <f>SUM(M31:M32)</f>
        <v/>
      </c>
      <c r="L31" s="206" t="n"/>
      <c r="M31" s="206" t="n"/>
      <c r="N31" s="206" t="n"/>
      <c r="O31" s="205" t="n"/>
      <c r="P31" s="205" t="n">
        <v>400</v>
      </c>
      <c r="Q31" s="205">
        <f>SUM(G31*8,I31:K31,P31)</f>
        <v/>
      </c>
      <c r="R31" s="166" t="n"/>
      <c r="S31" s="232" t="n"/>
    </row>
    <row r="32" ht="19" customHeight="1" s="184" thickBot="1">
      <c r="A32" s="200" t="n"/>
      <c r="B32" s="30">
        <f>油費報告書5月!K16</f>
        <v/>
      </c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0" t="n"/>
      <c r="L32" s="206" t="n"/>
      <c r="M32" s="206" t="n"/>
      <c r="N32" s="200" t="n"/>
      <c r="O32" s="200" t="n"/>
      <c r="P32" s="200" t="n"/>
      <c r="Q32" s="200" t="n"/>
      <c r="R32" s="200" t="n"/>
      <c r="S32" s="211" t="n"/>
    </row>
    <row r="33">
      <c r="A33" s="176" t="n">
        <v>14</v>
      </c>
      <c r="B33" s="30">
        <f>油費報告書5月!J17</f>
        <v/>
      </c>
      <c r="C33" s="107">
        <f>油費報告書5月!A17</f>
        <v/>
      </c>
      <c r="D33" s="107">
        <f>油費報告書5月!B17</f>
        <v/>
      </c>
      <c r="E33" s="107">
        <f>油費報告書5月!C17</f>
        <v/>
      </c>
      <c r="F33" s="108">
        <f>油費報告書5月!F17</f>
        <v/>
      </c>
      <c r="G33" s="205">
        <f>油費報告書5月!H17</f>
        <v/>
      </c>
      <c r="H33" s="205">
        <f>油費報告書5月!I17</f>
        <v/>
      </c>
      <c r="I33" s="205" t="n"/>
      <c r="J33" s="205" t="n"/>
      <c r="K33" s="205">
        <f>SUM(M33:M34)</f>
        <v/>
      </c>
      <c r="L33" s="206" t="n"/>
      <c r="M33" s="206" t="n"/>
      <c r="N33" s="206" t="n"/>
      <c r="O33" s="205" t="n"/>
      <c r="P33" s="205" t="n">
        <v>800</v>
      </c>
      <c r="Q33" s="205">
        <f>SUM(G33*8,I33:K33,P33)</f>
        <v/>
      </c>
      <c r="R33" s="166" t="n"/>
      <c r="S33" s="232" t="n"/>
    </row>
    <row r="34">
      <c r="A34" s="200" t="n"/>
      <c r="B34" s="30">
        <f>油費報告書5月!K17</f>
        <v/>
      </c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0" t="n"/>
      <c r="L34" s="206" t="n"/>
      <c r="M34" s="206" t="n"/>
      <c r="N34" s="200" t="n"/>
      <c r="O34" s="200" t="n"/>
      <c r="P34" s="200" t="n"/>
      <c r="Q34" s="200" t="n"/>
      <c r="R34" s="200" t="n"/>
      <c r="S34" s="211" t="n"/>
    </row>
    <row r="35">
      <c r="A35" s="107" t="n">
        <v>15</v>
      </c>
      <c r="B35" s="30">
        <f>油費報告書5月!J18</f>
        <v/>
      </c>
      <c r="C35" s="107" t="n">
        <v>5</v>
      </c>
      <c r="D35" s="107" t="n">
        <v>29</v>
      </c>
      <c r="E35" s="107" t="inlineStr">
        <is>
          <t>台南</t>
        </is>
      </c>
      <c r="F35" s="108" t="inlineStr"/>
      <c r="G35" s="205">
        <f>油費報告書5月!H18</f>
        <v/>
      </c>
      <c r="H35" s="205">
        <f>油費報告書5月!I18</f>
        <v/>
      </c>
      <c r="I35" s="205" t="n"/>
      <c r="J35" s="205" t="n"/>
      <c r="K35" s="205">
        <f>SUM(M35:M36)</f>
        <v/>
      </c>
      <c r="L35" s="206" t="n"/>
      <c r="M35" s="206" t="n"/>
      <c r="N35" s="206" t="n"/>
      <c r="O35" s="205" t="n"/>
      <c r="P35" s="205" t="n"/>
      <c r="Q35" s="205">
        <f>SUM(G35*8,I35:K35,P35)</f>
        <v/>
      </c>
      <c r="R35" s="167" t="n"/>
      <c r="S35" s="232" t="n"/>
    </row>
    <row r="36" ht="19" customHeight="1" s="184" thickBot="1">
      <c r="A36" s="200" t="n"/>
      <c r="B36" s="30">
        <f>油費報告書5月!K18</f>
        <v/>
      </c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0" t="n"/>
      <c r="L36" s="217" t="n"/>
      <c r="M36" s="217" t="n"/>
      <c r="N36" s="200" t="n"/>
      <c r="O36" s="200" t="n"/>
      <c r="P36" s="200" t="n"/>
      <c r="Q36" s="200" t="n"/>
      <c r="R36" s="210" t="n"/>
      <c r="S36" s="211" t="n"/>
    </row>
    <row r="37" ht="30" customHeight="1" s="184">
      <c r="A37" s="180" t="inlineStr">
        <is>
          <t>合計</t>
        </is>
      </c>
      <c r="F37" s="191" t="n"/>
      <c r="G37" s="219">
        <f>SUM(G7:G34)</f>
        <v/>
      </c>
      <c r="H37" s="219">
        <f>SUM(H7:H34)</f>
        <v/>
      </c>
      <c r="I37" s="219">
        <f>SUM(I7:I34)</f>
        <v/>
      </c>
      <c r="J37" s="219">
        <f>SUM(J7:J34)</f>
        <v/>
      </c>
      <c r="K37" s="219">
        <f>SUM(K7:K34)</f>
        <v/>
      </c>
      <c r="L37" s="219" t="inlineStr">
        <is>
          <t xml:space="preserve"> </t>
        </is>
      </c>
      <c r="M37" s="219" t="n"/>
      <c r="N37" s="219" t="inlineStr">
        <is>
          <t xml:space="preserve"> </t>
        </is>
      </c>
      <c r="O37" s="219">
        <f>SUM(O7:O34)</f>
        <v/>
      </c>
      <c r="P37" s="234">
        <f>SUM(P7:P34)</f>
        <v/>
      </c>
      <c r="Q37" s="235">
        <f>SUM(Q7:Q34)</f>
        <v/>
      </c>
      <c r="R37" s="236">
        <f>SUM(R7:R34)</f>
        <v/>
      </c>
      <c r="S37" s="237" t="n"/>
    </row>
    <row r="38" ht="15.5" customHeight="1" s="184">
      <c r="A38" s="223" t="inlineStr">
        <is>
          <t xml:space="preserve">總經理：             </t>
        </is>
      </c>
      <c r="B38" s="186" t="n"/>
      <c r="C38" s="186" t="n"/>
      <c r="D38" s="186" t="n"/>
      <c r="E38" s="186" t="n"/>
      <c r="F38" s="186" t="n"/>
      <c r="G38" s="224" t="inlineStr">
        <is>
          <t xml:space="preserve">     經理 :</t>
        </is>
      </c>
      <c r="H38" s="186" t="n"/>
      <c r="I38" s="186" t="n"/>
      <c r="J38" s="186" t="n"/>
      <c r="K38" s="186" t="n"/>
      <c r="L38" s="224" t="inlineStr">
        <is>
          <t xml:space="preserve">             經辦人：</t>
        </is>
      </c>
      <c r="M38" s="186" t="n"/>
      <c r="N38" s="186" t="n"/>
      <c r="O38" s="149" t="n"/>
      <c r="P38" s="225" t="inlineStr">
        <is>
          <t>審核：</t>
        </is>
      </c>
      <c r="Q38" s="186" t="n"/>
      <c r="R38" s="186" t="n"/>
      <c r="S38" s="187" t="n"/>
    </row>
    <row r="39" ht="15.5" customHeight="1" s="184">
      <c r="A39" s="226" t="n"/>
      <c r="B39" s="227" t="n"/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  <c r="M39" s="227" t="n"/>
      <c r="N39" s="227" t="n"/>
      <c r="O39" s="151" t="n"/>
      <c r="P39" s="227" t="n"/>
      <c r="Q39" s="227" t="n"/>
      <c r="R39" s="227" t="n"/>
      <c r="S39" s="228" t="n"/>
    </row>
  </sheetData>
  <mergeCells count="262">
    <mergeCell ref="P35:P36"/>
    <mergeCell ref="H9:H10"/>
    <mergeCell ref="R13:R14"/>
    <mergeCell ref="Q21:Q22"/>
    <mergeCell ref="J9:J10"/>
    <mergeCell ref="N25:N26"/>
    <mergeCell ref="C29:C30"/>
    <mergeCell ref="R31:R32"/>
    <mergeCell ref="D21:D22"/>
    <mergeCell ref="A7:A8"/>
    <mergeCell ref="E23:E24"/>
    <mergeCell ref="N21:N22"/>
    <mergeCell ref="P21:P22"/>
    <mergeCell ref="H11:H12"/>
    <mergeCell ref="R15:R16"/>
    <mergeCell ref="J11:J12"/>
    <mergeCell ref="Q23:Q24"/>
    <mergeCell ref="S23:S24"/>
    <mergeCell ref="R25:R26"/>
    <mergeCell ref="A27:A28"/>
    <mergeCell ref="K27:K28"/>
    <mergeCell ref="P23:P24"/>
    <mergeCell ref="D13:D14"/>
    <mergeCell ref="D7:D8"/>
    <mergeCell ref="I17:I18"/>
    <mergeCell ref="P7:P8"/>
    <mergeCell ref="F31:F32"/>
    <mergeCell ref="D15:D16"/>
    <mergeCell ref="Q27:Q28"/>
    <mergeCell ref="F13:F14"/>
    <mergeCell ref="G5:G6"/>
    <mergeCell ref="H13:H14"/>
    <mergeCell ref="G33:G34"/>
    <mergeCell ref="A33:A34"/>
    <mergeCell ref="A1:S1"/>
    <mergeCell ref="C27:C28"/>
    <mergeCell ref="S33:S34"/>
    <mergeCell ref="Q17:Q18"/>
    <mergeCell ref="O17:O18"/>
    <mergeCell ref="Q11:Q12"/>
    <mergeCell ref="I29:I30"/>
    <mergeCell ref="J31:J32"/>
    <mergeCell ref="H15:H16"/>
    <mergeCell ref="O27:O28"/>
    <mergeCell ref="G35:G36"/>
    <mergeCell ref="I35:I36"/>
    <mergeCell ref="R33:R34"/>
    <mergeCell ref="A35:A36"/>
    <mergeCell ref="O19:O20"/>
    <mergeCell ref="S35:S36"/>
    <mergeCell ref="E25:E26"/>
    <mergeCell ref="I31:I32"/>
    <mergeCell ref="K9:K10"/>
    <mergeCell ref="K5:M5"/>
    <mergeCell ref="Q25:Q26"/>
    <mergeCell ref="E21:E22"/>
    <mergeCell ref="O9:O10"/>
    <mergeCell ref="S25:S26"/>
    <mergeCell ref="G21:G22"/>
    <mergeCell ref="I15:I16"/>
    <mergeCell ref="L38:N39"/>
    <mergeCell ref="K15:K16"/>
    <mergeCell ref="F7:F8"/>
    <mergeCell ref="J23:J24"/>
    <mergeCell ref="K29:K30"/>
    <mergeCell ref="H23:H24"/>
    <mergeCell ref="P25:P26"/>
    <mergeCell ref="R19:R20"/>
    <mergeCell ref="O5:O6"/>
    <mergeCell ref="Q5:Q6"/>
    <mergeCell ref="D27:D28"/>
    <mergeCell ref="G23:G24"/>
    <mergeCell ref="P38:S39"/>
    <mergeCell ref="P9:P10"/>
    <mergeCell ref="E13:E14"/>
    <mergeCell ref="G13:G14"/>
    <mergeCell ref="E5:F5"/>
    <mergeCell ref="D17:D18"/>
    <mergeCell ref="G7:G8"/>
    <mergeCell ref="D11:D12"/>
    <mergeCell ref="I7:I8"/>
    <mergeCell ref="S7:S8"/>
    <mergeCell ref="P11:P12"/>
    <mergeCell ref="J27:J28"/>
    <mergeCell ref="F35:F36"/>
    <mergeCell ref="O29:O30"/>
    <mergeCell ref="R3:S4"/>
    <mergeCell ref="H17:H18"/>
    <mergeCell ref="R17:R18"/>
    <mergeCell ref="F33:F34"/>
    <mergeCell ref="C31:C32"/>
    <mergeCell ref="E31:E32"/>
    <mergeCell ref="I33:I34"/>
    <mergeCell ref="N29:N30"/>
    <mergeCell ref="J35:J36"/>
    <mergeCell ref="A21:A22"/>
    <mergeCell ref="A3:E3"/>
    <mergeCell ref="Q31:Q32"/>
    <mergeCell ref="E27:E28"/>
    <mergeCell ref="O31:O32"/>
    <mergeCell ref="H19:H20"/>
    <mergeCell ref="D9:D10"/>
    <mergeCell ref="N13:N14"/>
    <mergeCell ref="F9:F10"/>
    <mergeCell ref="K17:K18"/>
    <mergeCell ref="A17:A18"/>
    <mergeCell ref="J25:J26"/>
    <mergeCell ref="C17:C18"/>
    <mergeCell ref="P13:P14"/>
    <mergeCell ref="N31:N32"/>
    <mergeCell ref="D25:D26"/>
    <mergeCell ref="A23:A24"/>
    <mergeCell ref="J21:J22"/>
    <mergeCell ref="G25:G26"/>
    <mergeCell ref="N15:N16"/>
    <mergeCell ref="I19:I20"/>
    <mergeCell ref="F11:F12"/>
    <mergeCell ref="K19:K20"/>
    <mergeCell ref="P15:P16"/>
    <mergeCell ref="A19:A20"/>
    <mergeCell ref="C19:C20"/>
    <mergeCell ref="O23:O24"/>
    <mergeCell ref="G9:G10"/>
    <mergeCell ref="R23:R24"/>
    <mergeCell ref="I9:I10"/>
    <mergeCell ref="G27:G28"/>
    <mergeCell ref="A9:A10"/>
    <mergeCell ref="D23:D24"/>
    <mergeCell ref="G11:G12"/>
    <mergeCell ref="I11:I12"/>
    <mergeCell ref="N7:N8"/>
    <mergeCell ref="S31:S32"/>
    <mergeCell ref="A11:A12"/>
    <mergeCell ref="S11:S12"/>
    <mergeCell ref="H29:H30"/>
    <mergeCell ref="O33:O34"/>
    <mergeCell ref="Q33:Q34"/>
    <mergeCell ref="E29:E30"/>
    <mergeCell ref="S27:S28"/>
    <mergeCell ref="A38:F39"/>
    <mergeCell ref="R7:R8"/>
    <mergeCell ref="H31:H32"/>
    <mergeCell ref="Q29:Q30"/>
    <mergeCell ref="N33:N34"/>
    <mergeCell ref="P27:P28"/>
    <mergeCell ref="O35:O36"/>
    <mergeCell ref="R27:R28"/>
    <mergeCell ref="F21:F22"/>
    <mergeCell ref="Q35:Q36"/>
    <mergeCell ref="K11:K12"/>
    <mergeCell ref="F3:J3"/>
    <mergeCell ref="N17:N18"/>
    <mergeCell ref="S13:S14"/>
    <mergeCell ref="R21:R22"/>
    <mergeCell ref="P17:P18"/>
    <mergeCell ref="F17:F18"/>
    <mergeCell ref="O25:O26"/>
    <mergeCell ref="C21:C22"/>
    <mergeCell ref="Q19:Q20"/>
    <mergeCell ref="E15:E16"/>
    <mergeCell ref="G15:G16"/>
    <mergeCell ref="F23:F24"/>
    <mergeCell ref="K31:K32"/>
    <mergeCell ref="O21:O22"/>
    <mergeCell ref="Q15:Q16"/>
    <mergeCell ref="N19:N20"/>
    <mergeCell ref="S15:S16"/>
    <mergeCell ref="R35:R36"/>
    <mergeCell ref="P19:P20"/>
    <mergeCell ref="C23:C24"/>
    <mergeCell ref="A13:A14"/>
    <mergeCell ref="N9:N10"/>
    <mergeCell ref="O11:O12"/>
    <mergeCell ref="C7:C8"/>
    <mergeCell ref="E7:E8"/>
    <mergeCell ref="I23:I24"/>
    <mergeCell ref="O7:O8"/>
    <mergeCell ref="Q7:Q8"/>
    <mergeCell ref="D29:D30"/>
    <mergeCell ref="N11:N12"/>
    <mergeCell ref="F29:F30"/>
    <mergeCell ref="P5:P6"/>
    <mergeCell ref="R9:R10"/>
    <mergeCell ref="H5:H6"/>
    <mergeCell ref="R5:R6"/>
    <mergeCell ref="J5:J6"/>
    <mergeCell ref="H33:H34"/>
    <mergeCell ref="J33:J34"/>
    <mergeCell ref="G38:K39"/>
    <mergeCell ref="D31:D32"/>
    <mergeCell ref="A31:A32"/>
    <mergeCell ref="R11:R12"/>
    <mergeCell ref="J29:J30"/>
    <mergeCell ref="I27:I28"/>
    <mergeCell ref="J19:J20"/>
    <mergeCell ref="H35:H36"/>
    <mergeCell ref="F15:F16"/>
    <mergeCell ref="E17:E18"/>
    <mergeCell ref="J13:J14"/>
    <mergeCell ref="G17:G18"/>
    <mergeCell ref="F25:F26"/>
    <mergeCell ref="K33:K34"/>
    <mergeCell ref="K21:K22"/>
    <mergeCell ref="C33:C34"/>
    <mergeCell ref="A37:F37"/>
    <mergeCell ref="E33:E34"/>
    <mergeCell ref="S17:S18"/>
    <mergeCell ref="H21:H22"/>
    <mergeCell ref="E19:E20"/>
    <mergeCell ref="J15:J16"/>
    <mergeCell ref="G19:G20"/>
    <mergeCell ref="K35:K36"/>
    <mergeCell ref="P31:P32"/>
    <mergeCell ref="C35:C36"/>
    <mergeCell ref="C9:C10"/>
    <mergeCell ref="E35:E36"/>
    <mergeCell ref="E9:E10"/>
    <mergeCell ref="S19:S20"/>
    <mergeCell ref="I25:I26"/>
    <mergeCell ref="A25:A26"/>
    <mergeCell ref="C25:C26"/>
    <mergeCell ref="Q9:Q10"/>
    <mergeCell ref="S9:S10"/>
    <mergeCell ref="I21:I22"/>
    <mergeCell ref="C11:C12"/>
    <mergeCell ref="H7:H8"/>
    <mergeCell ref="E11:E12"/>
    <mergeCell ref="J7:J8"/>
    <mergeCell ref="N23:N24"/>
    <mergeCell ref="I5:I6"/>
    <mergeCell ref="G29:G30"/>
    <mergeCell ref="A5:A6"/>
    <mergeCell ref="D33:D34"/>
    <mergeCell ref="S5:S6"/>
    <mergeCell ref="F27:F28"/>
    <mergeCell ref="H27:H28"/>
    <mergeCell ref="K23:K24"/>
    <mergeCell ref="I13:I14"/>
    <mergeCell ref="A29:A30"/>
    <mergeCell ref="C5:D6"/>
    <mergeCell ref="K13:K14"/>
    <mergeCell ref="K7:K8"/>
    <mergeCell ref="C13:C14"/>
    <mergeCell ref="N27:N28"/>
    <mergeCell ref="D19:D20"/>
    <mergeCell ref="F19:F20"/>
    <mergeCell ref="J17:J18"/>
    <mergeCell ref="O13:O14"/>
    <mergeCell ref="S29:S30"/>
    <mergeCell ref="Q13:Q14"/>
    <mergeCell ref="K25:K26"/>
    <mergeCell ref="P33:P34"/>
    <mergeCell ref="A15:A16"/>
    <mergeCell ref="C15:C16"/>
    <mergeCell ref="S21:S22"/>
    <mergeCell ref="G31:G32"/>
    <mergeCell ref="P29:P30"/>
    <mergeCell ref="D35:D36"/>
    <mergeCell ref="H25:H26"/>
    <mergeCell ref="R29:R30"/>
    <mergeCell ref="O15:O16"/>
    <mergeCell ref="N35:N36"/>
  </mergeCells>
  <pageMargins left="0.1574803149606299" right="0.1574803149606299" top="0.1574803149606299" bottom="0.1574803149606299" header="0.1574803149606299" footer="0.1574803149606299"/>
  <pageSetup orientation="landscape" paperSize="9" scale="7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zoomScale="174" workbookViewId="0">
      <selection activeCell="D38" sqref="D38"/>
    </sheetView>
  </sheetViews>
  <sheetFormatPr baseColWidth="10" defaultColWidth="8.83203125" defaultRowHeight="15"/>
  <cols>
    <col width="7" customWidth="1" style="184" min="1" max="1"/>
    <col width="9.5" bestFit="1" customWidth="1" style="184" min="2" max="2"/>
    <col width="4.6640625" customWidth="1" style="184" min="3" max="3"/>
    <col width="12.5" customWidth="1" style="184" min="4" max="4"/>
    <col width="6.33203125" customWidth="1" style="184" min="5" max="5"/>
    <col width="8.6640625" customWidth="1" style="184" min="6" max="6"/>
    <col width="9.1640625" customWidth="1" style="184" min="7" max="7"/>
    <col width="9.6640625" customWidth="1" style="184" min="8" max="8"/>
    <col width="9.6640625" customWidth="1" style="238" min="9" max="9"/>
    <col width="14" customWidth="1" style="184" min="10" max="10"/>
    <col width="5.6640625" customWidth="1" style="184" min="11" max="12"/>
  </cols>
  <sheetData>
    <row r="1" ht="23" customFormat="1" customHeight="1" s="34">
      <c r="A1" s="32" t="inlineStr">
        <is>
          <t>115年</t>
        </is>
      </c>
      <c r="B1" s="33" t="n">
        <v>5</v>
      </c>
      <c r="C1" s="32" t="inlineStr">
        <is>
          <t>月</t>
        </is>
      </c>
      <c r="F1" s="35" t="inlineStr">
        <is>
          <t xml:space="preserve">    油費報告書</t>
        </is>
      </c>
      <c r="I1" s="239" t="n"/>
    </row>
    <row r="2" ht="18" customFormat="1" customHeight="1" s="34">
      <c r="A2" s="65" t="inlineStr">
        <is>
          <t>車主姓名： 陳峙霖</t>
        </is>
      </c>
      <c r="E2" s="66" t="inlineStr">
        <is>
          <t>廠牌： Tesla</t>
        </is>
      </c>
      <c r="F2" s="227" t="n"/>
      <c r="G2" s="227" t="n"/>
      <c r="H2" s="227" t="n"/>
      <c r="I2" s="227" t="n"/>
      <c r="J2" s="69" t="inlineStr">
        <is>
          <t>車號：  REA-8655</t>
        </is>
      </c>
      <c r="K2" s="227" t="n"/>
      <c r="L2" s="227" t="n"/>
    </row>
    <row r="3" ht="18" customFormat="1" customHeight="1" s="34">
      <c r="A3" s="71" t="inlineStr">
        <is>
          <t>日期</t>
        </is>
      </c>
      <c r="B3" s="240" t="n"/>
      <c r="C3" s="71" t="inlineStr">
        <is>
          <t>起迄地點</t>
        </is>
      </c>
      <c r="D3" s="241" t="n"/>
      <c r="E3" s="241" t="n"/>
      <c r="F3" s="241" t="n"/>
      <c r="G3" s="240" t="n"/>
      <c r="H3" s="71" t="inlineStr">
        <is>
          <t>實際里程/$</t>
        </is>
      </c>
      <c r="I3" s="240" t="n"/>
      <c r="J3" s="71" t="inlineStr">
        <is>
          <t>工作事由</t>
        </is>
      </c>
      <c r="K3" s="242" t="inlineStr">
        <is>
          <t>備註:</t>
        </is>
      </c>
      <c r="L3" s="240" t="n"/>
    </row>
    <row r="4" ht="19" customFormat="1" customHeight="1" s="34">
      <c r="A4" s="38" t="n">
        <v>5</v>
      </c>
      <c r="B4" s="39" t="n">
        <v>2</v>
      </c>
      <c r="C4" s="63" t="inlineStr">
        <is>
          <t>台南</t>
        </is>
      </c>
      <c r="D4" s="241" t="n"/>
      <c r="E4" s="40" t="inlineStr">
        <is>
          <t>ßà</t>
        </is>
      </c>
      <c r="F4" s="77" t="inlineStr">
        <is>
          <t>台北</t>
        </is>
      </c>
      <c r="G4" s="240" t="n"/>
      <c r="H4" s="38" t="n">
        <v>33</v>
      </c>
      <c r="I4" s="243">
        <f>H4*8</f>
        <v/>
      </c>
      <c r="J4" s="42" t="inlineStr">
        <is>
          <t>工廠輔導</t>
        </is>
      </c>
      <c r="K4" s="78" t="inlineStr">
        <is>
          <t>台灣水泥</t>
        </is>
      </c>
      <c r="L4" s="240" t="n"/>
    </row>
    <row r="5" ht="19" customFormat="1" customHeight="1" s="34">
      <c r="A5" s="38" t="n">
        <v>5</v>
      </c>
      <c r="B5" s="39" t="n">
        <v>4</v>
      </c>
      <c r="C5" s="63" t="inlineStr">
        <is>
          <t>台南</t>
        </is>
      </c>
      <c r="D5" s="241" t="n"/>
      <c r="E5" s="40" t="inlineStr">
        <is>
          <t>ßà</t>
        </is>
      </c>
      <c r="F5" s="79" t="inlineStr"/>
      <c r="G5" s="240" t="n"/>
      <c r="H5" s="38" t="n">
        <v>33</v>
      </c>
      <c r="I5" s="243">
        <f>H5*8</f>
        <v/>
      </c>
      <c r="J5" s="42" t="inlineStr">
        <is>
          <t>工廠輔導</t>
        </is>
      </c>
      <c r="K5" s="78" t="inlineStr">
        <is>
          <t>陳峙霖 孫雅萱</t>
        </is>
      </c>
      <c r="L5" s="240" t="n"/>
    </row>
    <row r="6" ht="19" customFormat="1" customHeight="1" s="34">
      <c r="A6" s="38" t="n">
        <v>5</v>
      </c>
      <c r="B6" s="44" t="n">
        <v>6</v>
      </c>
      <c r="C6" s="63" t="inlineStr">
        <is>
          <t>台南</t>
        </is>
      </c>
      <c r="D6" s="241" t="n"/>
      <c r="E6" s="40" t="inlineStr">
        <is>
          <t>ßà</t>
        </is>
      </c>
      <c r="F6" s="63" t="inlineStr"/>
      <c r="G6" s="241" t="n"/>
      <c r="H6" s="38" t="n">
        <v>33</v>
      </c>
      <c r="I6" s="243">
        <f>H6*8</f>
        <v/>
      </c>
      <c r="J6" s="42" t="inlineStr">
        <is>
          <t>工廠輔導</t>
        </is>
      </c>
      <c r="K6" s="78" t="inlineStr">
        <is>
          <t>元慶、綠建材工會</t>
        </is>
      </c>
      <c r="L6" s="240" t="n"/>
    </row>
    <row r="7" ht="19" customFormat="1" customHeight="1" s="34">
      <c r="A7" s="38" t="n">
        <v>5</v>
      </c>
      <c r="B7" s="44" t="n">
        <v>7</v>
      </c>
      <c r="C7" s="63" t="inlineStr">
        <is>
          <t>台南</t>
        </is>
      </c>
      <c r="D7" s="241" t="n"/>
      <c r="E7" s="40" t="inlineStr">
        <is>
          <t>ßà</t>
        </is>
      </c>
      <c r="F7" s="63" t="inlineStr">
        <is>
          <t>高雄</t>
        </is>
      </c>
      <c r="G7" s="241" t="n"/>
      <c r="H7" s="38" t="n">
        <v>102</v>
      </c>
      <c r="I7" s="243">
        <f>H7*8</f>
        <v/>
      </c>
      <c r="J7" s="42" t="inlineStr">
        <is>
          <t>教育訓練</t>
        </is>
      </c>
      <c r="K7" s="78" t="inlineStr">
        <is>
          <t>中石化大社廠</t>
        </is>
      </c>
      <c r="L7" s="240" t="n"/>
    </row>
    <row r="8" ht="19" customFormat="1" customHeight="1" s="34">
      <c r="A8" s="38" t="n">
        <v>5</v>
      </c>
      <c r="B8" s="44" t="n">
        <v>8</v>
      </c>
      <c r="C8" s="63" t="inlineStr">
        <is>
          <t>台南</t>
        </is>
      </c>
      <c r="D8" s="241" t="n"/>
      <c r="E8" s="40" t="inlineStr">
        <is>
          <t>ßà</t>
        </is>
      </c>
      <c r="F8" s="79" t="inlineStr"/>
      <c r="G8" s="240" t="n"/>
      <c r="H8" s="43" t="n">
        <v>33</v>
      </c>
      <c r="I8" s="243">
        <f>H8*8</f>
        <v/>
      </c>
      <c r="J8" s="42" t="inlineStr">
        <is>
          <t>輔導查證</t>
        </is>
      </c>
      <c r="K8" s="78" t="inlineStr">
        <is>
          <t>上福集團、美利達</t>
        </is>
      </c>
      <c r="L8" s="240" t="n"/>
    </row>
    <row r="9" ht="19" customFormat="1" customHeight="1" s="34">
      <c r="A9" s="38" t="n">
        <v>5</v>
      </c>
      <c r="B9" s="44" t="n">
        <v>13</v>
      </c>
      <c r="C9" s="63" t="inlineStr">
        <is>
          <t>台南</t>
        </is>
      </c>
      <c r="D9" s="241" t="n"/>
      <c r="E9" s="40" t="inlineStr">
        <is>
          <t>ßà</t>
        </is>
      </c>
      <c r="F9" s="77" t="inlineStr"/>
      <c r="G9" s="240" t="n"/>
      <c r="H9" s="43" t="n">
        <v>33</v>
      </c>
      <c r="I9" s="243">
        <f>H9*8</f>
        <v/>
      </c>
      <c r="J9" s="42" t="inlineStr">
        <is>
          <t>工廠輔導</t>
        </is>
      </c>
      <c r="K9" s="78" t="inlineStr">
        <is>
          <t>統一</t>
        </is>
      </c>
      <c r="L9" s="240" t="n"/>
    </row>
    <row r="10" ht="19" customFormat="1" customHeight="1" s="34">
      <c r="A10" s="38" t="n">
        <v>5</v>
      </c>
      <c r="B10" s="44" t="n">
        <v>14</v>
      </c>
      <c r="C10" s="63" t="inlineStr">
        <is>
          <t>台南</t>
        </is>
      </c>
      <c r="D10" s="241" t="n"/>
      <c r="E10" s="40" t="inlineStr">
        <is>
          <t>ßà</t>
        </is>
      </c>
      <c r="F10" s="63" t="inlineStr">
        <is>
          <t>台北</t>
        </is>
      </c>
      <c r="G10" s="241" t="n"/>
      <c r="H10" s="43" t="n">
        <v>33</v>
      </c>
      <c r="I10" s="243">
        <f>H10*8</f>
        <v/>
      </c>
      <c r="J10" s="42" t="inlineStr">
        <is>
          <t>工廠輔導</t>
        </is>
      </c>
      <c r="K10" s="78" t="inlineStr">
        <is>
          <t>台灣水泥、資策會</t>
        </is>
      </c>
      <c r="L10" s="240" t="n"/>
    </row>
    <row r="11" ht="19" customFormat="1" customHeight="1" s="34">
      <c r="A11" s="38" t="n">
        <v>5</v>
      </c>
      <c r="B11" s="44" t="n">
        <v>15</v>
      </c>
      <c r="C11" s="63" t="inlineStr">
        <is>
          <t>台南</t>
        </is>
      </c>
      <c r="D11" s="241" t="n"/>
      <c r="E11" s="40" t="inlineStr">
        <is>
          <t>ßà</t>
        </is>
      </c>
      <c r="F11" s="63" t="inlineStr">
        <is>
          <t>新竹龜山</t>
        </is>
      </c>
      <c r="G11" s="241" t="n"/>
      <c r="H11" s="43" t="n">
        <v>33</v>
      </c>
      <c r="I11" s="243">
        <f>H11*8</f>
        <v/>
      </c>
      <c r="J11" s="42" t="inlineStr">
        <is>
          <t>工廠輔導</t>
        </is>
      </c>
      <c r="K11" s="78" t="inlineStr">
        <is>
          <t>訊凱國際、PWC</t>
        </is>
      </c>
      <c r="L11" s="240" t="n"/>
    </row>
    <row r="12" ht="19" customFormat="1" customHeight="1" s="34">
      <c r="A12" s="38" t="n">
        <v>5</v>
      </c>
      <c r="B12" s="44" t="n">
        <v>20</v>
      </c>
      <c r="C12" s="63" t="inlineStr">
        <is>
          <t>台南</t>
        </is>
      </c>
      <c r="D12" s="241" t="n"/>
      <c r="E12" s="40" t="inlineStr">
        <is>
          <t>ßà</t>
        </is>
      </c>
      <c r="F12" s="63" t="inlineStr"/>
      <c r="G12" s="241" t="n"/>
      <c r="H12" s="43" t="n">
        <v>33</v>
      </c>
      <c r="I12" s="243">
        <f>H12*8</f>
        <v/>
      </c>
      <c r="J12" s="42" t="inlineStr">
        <is>
          <t>工廠輔導</t>
        </is>
      </c>
      <c r="K12" s="78" t="inlineStr">
        <is>
          <t>華航</t>
        </is>
      </c>
      <c r="L12" s="240" t="n"/>
    </row>
    <row r="13" ht="19" customFormat="1" customHeight="1" s="34">
      <c r="A13" s="38" t="n">
        <v>5</v>
      </c>
      <c r="B13" s="44" t="n">
        <v>21</v>
      </c>
      <c r="C13" s="63" t="inlineStr">
        <is>
          <t>台南</t>
        </is>
      </c>
      <c r="D13" s="241" t="n"/>
      <c r="E13" s="40" t="inlineStr">
        <is>
          <t>ßà</t>
        </is>
      </c>
      <c r="F13" s="63" t="inlineStr">
        <is>
          <t>新竹龜山</t>
        </is>
      </c>
      <c r="G13" s="241" t="n"/>
      <c r="H13" s="43" t="n">
        <v>33</v>
      </c>
      <c r="I13" s="243">
        <f>H13*8</f>
        <v/>
      </c>
      <c r="J13" s="42" t="inlineStr">
        <is>
          <t>工廠輔導</t>
        </is>
      </c>
      <c r="K13" s="82" t="inlineStr">
        <is>
          <t>訊凱國際</t>
        </is>
      </c>
      <c r="L13" s="240" t="n"/>
    </row>
    <row r="14" ht="19" customFormat="1" customHeight="1" s="34">
      <c r="A14" s="38" t="n">
        <v>5</v>
      </c>
      <c r="B14" s="46" t="n">
        <v>22</v>
      </c>
      <c r="C14" s="63" t="inlineStr">
        <is>
          <t>台南</t>
        </is>
      </c>
      <c r="D14" s="241" t="n"/>
      <c r="E14" s="40" t="inlineStr">
        <is>
          <t>ßà</t>
        </is>
      </c>
      <c r="F14" s="63" t="inlineStr"/>
      <c r="G14" s="241" t="n"/>
      <c r="H14" s="43" t="n">
        <v>33</v>
      </c>
      <c r="I14" s="243">
        <f>H14*8</f>
        <v/>
      </c>
      <c r="J14" s="42" t="inlineStr">
        <is>
          <t>工廠輔導</t>
        </is>
      </c>
      <c r="K14" s="78" t="inlineStr">
        <is>
          <t>晶泰</t>
        </is>
      </c>
      <c r="L14" s="240" t="n"/>
    </row>
    <row r="15" ht="19" customFormat="1" customHeight="1" s="34">
      <c r="A15" s="38" t="n">
        <v>5</v>
      </c>
      <c r="B15" s="46" t="n">
        <v>26</v>
      </c>
      <c r="C15" s="63" t="inlineStr">
        <is>
          <t>台南</t>
        </is>
      </c>
      <c r="D15" s="241" t="n"/>
      <c r="E15" s="40" t="inlineStr">
        <is>
          <t>ßà</t>
        </is>
      </c>
      <c r="F15" s="79" t="inlineStr">
        <is>
          <t>桃園</t>
        </is>
      </c>
      <c r="G15" s="240" t="n"/>
      <c r="H15" s="43" t="n">
        <v>33</v>
      </c>
      <c r="I15" s="243">
        <f>H15*8</f>
        <v/>
      </c>
      <c r="J15" s="42" t="inlineStr">
        <is>
          <t>工廠輔導</t>
        </is>
      </c>
      <c r="K15" s="78" t="inlineStr">
        <is>
          <t>康舒科技</t>
        </is>
      </c>
      <c r="L15" s="240" t="n"/>
    </row>
    <row r="16" ht="19" customFormat="1" customHeight="1" s="34">
      <c r="A16" s="38" t="n">
        <v>5</v>
      </c>
      <c r="B16" s="44" t="n">
        <v>27</v>
      </c>
      <c r="C16" s="63" t="inlineStr">
        <is>
          <t>台南</t>
        </is>
      </c>
      <c r="D16" s="241" t="n"/>
      <c r="E16" s="40" t="inlineStr">
        <is>
          <t>ßà</t>
        </is>
      </c>
      <c r="F16" s="38" t="inlineStr"/>
      <c r="G16" s="240" t="n"/>
      <c r="H16" s="43" t="n">
        <v>33</v>
      </c>
      <c r="I16" s="243">
        <f>H16*8</f>
        <v/>
      </c>
      <c r="J16" s="42" t="inlineStr">
        <is>
          <t>工廠輔導</t>
        </is>
      </c>
      <c r="K16" s="78" t="inlineStr">
        <is>
          <t>交通部運研所、元慶</t>
        </is>
      </c>
      <c r="L16" s="240" t="n"/>
    </row>
    <row r="17" ht="19" customFormat="1" customHeight="1" s="34">
      <c r="A17" s="38" t="n">
        <v>5</v>
      </c>
      <c r="B17" s="44" t="inlineStr">
        <is>
          <t>28~29</t>
        </is>
      </c>
      <c r="C17" s="63" t="inlineStr">
        <is>
          <t>台南</t>
        </is>
      </c>
      <c r="D17" s="241" t="n"/>
      <c r="E17" s="40" t="inlineStr">
        <is>
          <t>ßà</t>
        </is>
      </c>
      <c r="F17" s="79" t="inlineStr"/>
      <c r="G17" s="240" t="n"/>
      <c r="H17" s="43" t="n">
        <v>33</v>
      </c>
      <c r="I17" s="243">
        <f>H17*8</f>
        <v/>
      </c>
      <c r="J17" s="42" t="inlineStr">
        <is>
          <t>輔導查證</t>
        </is>
      </c>
      <c r="K17" s="78" t="inlineStr">
        <is>
          <t>上福集團</t>
        </is>
      </c>
      <c r="L17" s="240" t="n"/>
    </row>
    <row r="18" ht="19" customFormat="1" customHeight="1" s="34">
      <c r="A18" s="38" t="n"/>
      <c r="B18" s="44" t="n"/>
      <c r="C18" s="63" t="n"/>
      <c r="D18" s="241" t="n"/>
      <c r="E18" s="40" t="inlineStr">
        <is>
          <t>ßà</t>
        </is>
      </c>
      <c r="F18" s="79" t="n"/>
      <c r="G18" s="240" t="n"/>
      <c r="H18" s="43" t="n"/>
      <c r="I18" s="243">
        <f>H18*8</f>
        <v/>
      </c>
      <c r="J18" s="42" t="n"/>
      <c r="K18" s="78" t="n"/>
      <c r="L18" s="240" t="n"/>
    </row>
    <row r="19" ht="19" customFormat="1" customHeight="1" s="34">
      <c r="A19" s="38" t="n"/>
      <c r="B19" s="44" t="n"/>
      <c r="C19" s="63" t="n"/>
      <c r="D19" s="241" t="n"/>
      <c r="E19" s="40" t="inlineStr">
        <is>
          <t>ßà</t>
        </is>
      </c>
      <c r="F19" s="79" t="n"/>
      <c r="G19" s="240" t="n"/>
      <c r="H19" s="43" t="n"/>
      <c r="I19" s="243">
        <f>H19*8</f>
        <v/>
      </c>
      <c r="J19" s="42" t="n"/>
      <c r="K19" s="78" t="n"/>
      <c r="L19" s="240" t="n"/>
    </row>
    <row r="20" ht="19" customFormat="1" customHeight="1" s="34">
      <c r="A20" s="38" t="n"/>
      <c r="B20" s="44" t="n"/>
      <c r="C20" s="63" t="n"/>
      <c r="D20" s="241" t="n"/>
      <c r="E20" s="40" t="inlineStr">
        <is>
          <t>ßà</t>
        </is>
      </c>
      <c r="F20" s="63" t="n"/>
      <c r="G20" s="241" t="n"/>
      <c r="H20" s="43" t="n"/>
      <c r="I20" s="243">
        <f>H20*8</f>
        <v/>
      </c>
      <c r="J20" s="42" t="n"/>
      <c r="K20" s="78" t="n"/>
      <c r="L20" s="240" t="n"/>
    </row>
    <row r="21" ht="19" customFormat="1" customHeight="1" s="34">
      <c r="A21" s="38" t="n"/>
      <c r="B21" s="44" t="n"/>
      <c r="C21" s="63" t="n"/>
      <c r="D21" s="241" t="n"/>
      <c r="E21" s="40" t="inlineStr">
        <is>
          <t>ßà</t>
        </is>
      </c>
      <c r="F21" s="86" t="n"/>
      <c r="G21" s="240" t="n"/>
      <c r="H21" s="43" t="n"/>
      <c r="I21" s="243">
        <f>H21*8</f>
        <v/>
      </c>
      <c r="J21" s="42" t="n"/>
      <c r="K21" s="83" t="n"/>
      <c r="L21" s="240" t="n"/>
    </row>
    <row r="22" ht="19" customFormat="1" customHeight="1" s="34">
      <c r="A22" s="38" t="n"/>
      <c r="B22" s="44" t="n"/>
      <c r="C22" s="63" t="n"/>
      <c r="D22" s="241" t="n"/>
      <c r="E22" s="40" t="inlineStr">
        <is>
          <t>ßà</t>
        </is>
      </c>
      <c r="F22" s="86" t="n"/>
      <c r="G22" s="240" t="n"/>
      <c r="H22" s="43" t="n"/>
      <c r="I22" s="243">
        <f>H22*8</f>
        <v/>
      </c>
      <c r="J22" s="42" t="n"/>
      <c r="K22" s="83" t="n"/>
      <c r="L22" s="240" t="n"/>
    </row>
    <row r="23" ht="19" customFormat="1" customHeight="1" s="34">
      <c r="A23" s="38" t="n"/>
      <c r="B23" s="44" t="n"/>
      <c r="C23" s="63" t="n"/>
      <c r="D23" s="241" t="n"/>
      <c r="E23" s="40" t="inlineStr">
        <is>
          <t>ßà</t>
        </is>
      </c>
      <c r="F23" s="79" t="n"/>
      <c r="G23" s="240" t="n"/>
      <c r="H23" s="43" t="n"/>
      <c r="I23" s="243">
        <f>H23*8</f>
        <v/>
      </c>
      <c r="J23" s="42" t="n"/>
      <c r="K23" s="78" t="n"/>
      <c r="L23" s="240" t="n"/>
    </row>
    <row r="24" ht="19" customFormat="1" customHeight="1" s="34">
      <c r="A24" s="38" t="n"/>
      <c r="B24" s="44" t="n"/>
      <c r="C24" s="63" t="n"/>
      <c r="D24" s="241" t="n"/>
      <c r="E24" s="40" t="inlineStr">
        <is>
          <t>ßà</t>
        </is>
      </c>
      <c r="F24" s="79" t="n"/>
      <c r="G24" s="240" t="n"/>
      <c r="H24" s="43" t="n"/>
      <c r="I24" s="243">
        <f>H24*8</f>
        <v/>
      </c>
      <c r="J24" s="42" t="n"/>
      <c r="K24" s="78" t="n"/>
      <c r="L24" s="240" t="n"/>
    </row>
    <row r="25" ht="19" customFormat="1" customHeight="1" s="34">
      <c r="A25" s="38" t="n"/>
      <c r="B25" s="44" t="n"/>
      <c r="C25" s="63" t="n"/>
      <c r="D25" s="241" t="n"/>
      <c r="E25" s="40" t="inlineStr">
        <is>
          <t>ßà</t>
        </is>
      </c>
      <c r="F25" s="79" t="n"/>
      <c r="G25" s="240" t="n"/>
      <c r="H25" s="43" t="n"/>
      <c r="I25" s="243">
        <f>H25*8</f>
        <v/>
      </c>
      <c r="J25" s="42" t="n"/>
      <c r="K25" s="78" t="n"/>
      <c r="L25" s="240" t="n"/>
    </row>
    <row r="26" ht="19" customFormat="1" customHeight="1" s="34">
      <c r="A26" s="38" t="n"/>
      <c r="B26" s="44" t="n"/>
      <c r="C26" s="63" t="n"/>
      <c r="D26" s="241" t="n"/>
      <c r="E26" s="40" t="inlineStr">
        <is>
          <t>ßà</t>
        </is>
      </c>
      <c r="F26" s="79" t="n"/>
      <c r="G26" s="240" t="n"/>
      <c r="H26" s="43" t="n"/>
      <c r="I26" s="243">
        <f>H26*8</f>
        <v/>
      </c>
      <c r="J26" s="42" t="n"/>
      <c r="K26" s="78" t="n"/>
      <c r="L26" s="240" t="n"/>
    </row>
    <row r="27" ht="19" customFormat="1" customHeight="1" s="34">
      <c r="A27" s="38" t="n"/>
      <c r="B27" s="44" t="n"/>
      <c r="C27" s="63" t="n"/>
      <c r="D27" s="241" t="n"/>
      <c r="E27" s="40" t="inlineStr">
        <is>
          <t>ßà</t>
        </is>
      </c>
      <c r="F27" s="79" t="n"/>
      <c r="G27" s="240" t="n"/>
      <c r="H27" s="43" t="n"/>
      <c r="I27" s="243">
        <f>H27*8</f>
        <v/>
      </c>
      <c r="J27" s="42" t="n"/>
      <c r="K27" s="83" t="n"/>
      <c r="L27" s="240" t="n"/>
    </row>
    <row r="28" ht="19" customFormat="1" customHeight="1" s="34">
      <c r="A28" s="38" t="n"/>
      <c r="B28" s="44" t="n"/>
      <c r="C28" s="63" t="n"/>
      <c r="D28" s="241" t="n"/>
      <c r="E28" s="40" t="inlineStr">
        <is>
          <t>ßà</t>
        </is>
      </c>
      <c r="F28" s="79" t="n"/>
      <c r="G28" s="240" t="n"/>
      <c r="H28" s="43" t="n"/>
      <c r="I28" s="243">
        <f>H28*8</f>
        <v/>
      </c>
      <c r="J28" s="42" t="n"/>
      <c r="K28" s="83" t="n"/>
      <c r="L28" s="240" t="n"/>
    </row>
    <row r="29" ht="18" customFormat="1" customHeight="1" s="34">
      <c r="A29" s="38" t="n"/>
      <c r="B29" s="44" t="n"/>
      <c r="C29" s="84" t="n"/>
      <c r="D29" s="241" t="n"/>
      <c r="E29" s="40" t="inlineStr">
        <is>
          <t>ßà</t>
        </is>
      </c>
      <c r="F29" s="86" t="n"/>
      <c r="G29" s="240" t="n"/>
      <c r="H29" s="43" t="n"/>
      <c r="I29" s="243">
        <f>H29*8</f>
        <v/>
      </c>
      <c r="J29" s="83" t="n"/>
      <c r="K29" s="83" t="n"/>
      <c r="L29" s="240" t="n"/>
    </row>
    <row r="30" ht="18" customFormat="1" customHeight="1" s="34">
      <c r="A30" s="43" t="inlineStr">
        <is>
          <t xml:space="preserve">    累       計        里        程</t>
        </is>
      </c>
      <c r="B30" s="241" t="n"/>
      <c r="C30" s="241" t="n"/>
      <c r="D30" s="241" t="n"/>
      <c r="E30" s="241" t="n"/>
      <c r="F30" s="240" t="n"/>
      <c r="G30" s="46" t="inlineStr">
        <is>
          <t>合計：</t>
        </is>
      </c>
      <c r="H30" s="244">
        <f>SUM(H4:H29)</f>
        <v/>
      </c>
      <c r="I30" s="241" t="n"/>
      <c r="J30" s="99" t="inlineStr">
        <is>
          <t>公里</t>
        </is>
      </c>
      <c r="K30" s="43" t="inlineStr">
        <is>
          <t xml:space="preserve"> </t>
        </is>
      </c>
      <c r="L30" s="240" t="n"/>
    </row>
    <row r="31" ht="18" customFormat="1" customHeight="1" s="34">
      <c r="A31" s="245" t="inlineStr">
        <is>
          <t>補助費(含油料、維修等)每公里以8元核算</t>
        </is>
      </c>
      <c r="B31" s="241" t="n"/>
      <c r="C31" s="241" t="n"/>
      <c r="D31" s="241" t="n"/>
      <c r="E31" s="241" t="n"/>
      <c r="F31" s="240" t="n"/>
      <c r="G31" s="46" t="inlineStr">
        <is>
          <t>應領金額</t>
        </is>
      </c>
      <c r="H31" s="246">
        <f>H30*8</f>
        <v/>
      </c>
      <c r="I31" s="241" t="n"/>
      <c r="J31" s="99" t="inlineStr">
        <is>
          <t>元</t>
        </is>
      </c>
      <c r="K31" s="241" t="n"/>
      <c r="L31" s="240" t="n"/>
    </row>
    <row r="32" ht="18" customFormat="1" customHeight="1" s="34">
      <c r="A32" s="87" t="n">
        <v>115</v>
      </c>
      <c r="B32" s="241" t="n"/>
      <c r="C32" s="48" t="n">
        <v>5</v>
      </c>
      <c r="D32" s="88" t="inlineStr">
        <is>
          <t>月汽、機車補助費用，計新台幣</t>
        </is>
      </c>
      <c r="E32" s="241" t="n"/>
      <c r="F32" s="241" t="n"/>
      <c r="G32" s="241" t="n"/>
      <c r="H32" s="247">
        <f>H31+L30</f>
        <v/>
      </c>
      <c r="I32" s="90" t="inlineStr">
        <is>
          <t>元正如數收訖</t>
        </is>
      </c>
      <c r="J32" s="241" t="n"/>
      <c r="K32" s="241" t="n"/>
      <c r="L32" s="240" t="n"/>
    </row>
    <row r="33" ht="18" customFormat="1" customHeight="1" s="34">
      <c r="A33" s="50" t="inlineStr">
        <is>
          <t xml:space="preserve"> </t>
        </is>
      </c>
      <c r="B33" s="50" t="n"/>
      <c r="C33" s="50" t="n"/>
      <c r="H33" s="51" t="inlineStr">
        <is>
          <t xml:space="preserve"> 具領人：</t>
        </is>
      </c>
      <c r="I33" s="239" t="n"/>
    </row>
  </sheetData>
  <mergeCells count="94">
    <mergeCell ref="C6:D6"/>
    <mergeCell ref="F29:G29"/>
    <mergeCell ref="C15:D15"/>
    <mergeCell ref="K24:L24"/>
    <mergeCell ref="F16:G16"/>
    <mergeCell ref="F25:G25"/>
    <mergeCell ref="K26:L26"/>
    <mergeCell ref="F15:G15"/>
    <mergeCell ref="C27:D27"/>
    <mergeCell ref="F23:G23"/>
    <mergeCell ref="A31:F31"/>
    <mergeCell ref="F13:G13"/>
    <mergeCell ref="C17:D17"/>
    <mergeCell ref="C19:D19"/>
    <mergeCell ref="K28:L28"/>
    <mergeCell ref="C28:D28"/>
    <mergeCell ref="A2:D2"/>
    <mergeCell ref="K13:L13"/>
    <mergeCell ref="K30:L30"/>
    <mergeCell ref="F10:G10"/>
    <mergeCell ref="F19:G19"/>
    <mergeCell ref="K15:L15"/>
    <mergeCell ref="C5:D5"/>
    <mergeCell ref="C14:D14"/>
    <mergeCell ref="F6:G6"/>
    <mergeCell ref="K21:L21"/>
    <mergeCell ref="C4:D4"/>
    <mergeCell ref="F5:G5"/>
    <mergeCell ref="F20:G20"/>
    <mergeCell ref="F18:G18"/>
    <mergeCell ref="F17:G17"/>
    <mergeCell ref="J2:L2"/>
    <mergeCell ref="K27:L27"/>
    <mergeCell ref="F28:G28"/>
    <mergeCell ref="I32:L32"/>
    <mergeCell ref="A30:F30"/>
    <mergeCell ref="C8:D8"/>
    <mergeCell ref="K17:L17"/>
    <mergeCell ref="F9:G9"/>
    <mergeCell ref="H3:I3"/>
    <mergeCell ref="K10:L10"/>
    <mergeCell ref="K19:L19"/>
    <mergeCell ref="C18:D18"/>
    <mergeCell ref="K6:L6"/>
    <mergeCell ref="K3:L3"/>
    <mergeCell ref="K16:L16"/>
    <mergeCell ref="F4:G4"/>
    <mergeCell ref="K25:L25"/>
    <mergeCell ref="K9:L9"/>
    <mergeCell ref="K5:L5"/>
    <mergeCell ref="H31:I31"/>
    <mergeCell ref="F7:G7"/>
    <mergeCell ref="F21:G21"/>
    <mergeCell ref="K29:L29"/>
    <mergeCell ref="C20:D20"/>
    <mergeCell ref="K11:L11"/>
    <mergeCell ref="C29:D29"/>
    <mergeCell ref="C22:D22"/>
    <mergeCell ref="A3:B3"/>
    <mergeCell ref="F8:G8"/>
    <mergeCell ref="C12:D12"/>
    <mergeCell ref="C21:D21"/>
    <mergeCell ref="K8:L8"/>
    <mergeCell ref="E2:I2"/>
    <mergeCell ref="A32:B32"/>
    <mergeCell ref="F22:G22"/>
    <mergeCell ref="K23:L23"/>
    <mergeCell ref="C23:D23"/>
    <mergeCell ref="K7:L7"/>
    <mergeCell ref="C7:D7"/>
    <mergeCell ref="F14:G14"/>
    <mergeCell ref="K18:L18"/>
    <mergeCell ref="H30:I30"/>
    <mergeCell ref="F11:G11"/>
    <mergeCell ref="C24:D24"/>
    <mergeCell ref="C26:D26"/>
    <mergeCell ref="F12:G12"/>
    <mergeCell ref="F24:G24"/>
    <mergeCell ref="K20:L20"/>
    <mergeCell ref="C16:D16"/>
    <mergeCell ref="C10:D10"/>
    <mergeCell ref="C25:D25"/>
    <mergeCell ref="J31:L31"/>
    <mergeCell ref="C9:D9"/>
    <mergeCell ref="F26:G26"/>
    <mergeCell ref="K22:L22"/>
    <mergeCell ref="K12:L12"/>
    <mergeCell ref="C11:D11"/>
    <mergeCell ref="F27:G27"/>
    <mergeCell ref="K14:L14"/>
    <mergeCell ref="D32:G32"/>
    <mergeCell ref="C13:D13"/>
    <mergeCell ref="K4:L4"/>
    <mergeCell ref="C3:G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2013-01-03T07:13:29Z</dcterms:created>
  <dcterms:modified xmlns:dcterms="http://purl.org/dc/terms/" xmlns:xsi="http://www.w3.org/2001/XMLSchema-instance" xsi:type="dcterms:W3CDTF">2026-06-07T02:44:25Z</dcterms:modified>
  <cp:lastModifiedBy>陳峙霖 CHEN,CHIH-LIN</cp:lastModifiedBy>
  <cp:lastPrinted>2021-12-20T00:53:02Z</cp:lastPrinted>
</cp:coreProperties>
</file>